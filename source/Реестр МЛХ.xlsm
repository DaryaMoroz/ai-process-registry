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2" codeName="{857A39E2-67AF-9BA6-E15C-A4B3A0C75593}"/>
  <workbookPr codeName="ЭтаКнига"/>
  <mc:AlternateContent xmlns:mc="http://schemas.openxmlformats.org/markup-compatibility/2006">
    <mc:Choice Requires="x15">
      <x15ac:absPath xmlns:x15ac="http://schemas.microsoft.com/office/spreadsheetml/2010/11/ac" url="/Users/daniilbekcev/Downloads/"/>
    </mc:Choice>
  </mc:AlternateContent>
  <xr:revisionPtr revIDLastSave="0" documentId="13_ncr:1_{B0E30840-3381-1648-B1AC-40C51B8286E5}" xr6:coauthVersionLast="47" xr6:coauthVersionMax="47" xr10:uidLastSave="{00000000-0000-0000-0000-000000000000}"/>
  <bookViews>
    <workbookView xWindow="0" yWindow="600" windowWidth="25600" windowHeight="15400" tabRatio="848" xr2:uid="{00000000-000D-0000-FFFF-FFFF00000000}"/>
  </bookViews>
  <sheets>
    <sheet name="Группы процессов!!!" sheetId="13" r:id="rId1"/>
    <sheet name="Глоссарий" sheetId="12" r:id="rId2"/>
    <sheet name="Наименование ОГВ" sheetId="16" r:id="rId3"/>
    <sheet name="10_МЛХ" sheetId="131" r:id="rId4"/>
    <sheet name="Лист3" sheetId="132" r:id="rId5"/>
    <sheet name="Цифра" sheetId="20" state="hidden" r:id="rId6"/>
    <sheet name="Лист2" sheetId="78" state="hidden" r:id="rId7"/>
    <sheet name="Лист1" sheetId="7" state="hidden" r:id="rId8"/>
  </sheets>
  <definedNames>
    <definedName name="_xlnm._FilterDatabase" localSheetId="3" hidden="1">'10_МЛХ'!$A$8:$S$253</definedName>
    <definedName name="Сотрудники">#REF!</definedName>
    <definedName name="Срез_Цвет">#REF!</definedName>
    <definedName name="Штат">#REF!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6" i="132" l="1"/>
  <c r="L15" i="132" s="1"/>
  <c r="L14" i="132" s="1"/>
  <c r="L13" i="132" s="1"/>
  <c r="K16" i="132"/>
  <c r="K15" i="132" s="1"/>
  <c r="K14" i="132" s="1"/>
  <c r="K13" i="132" s="1"/>
  <c r="L250" i="131"/>
  <c r="K250" i="131"/>
  <c r="L247" i="131"/>
  <c r="K247" i="131"/>
  <c r="L243" i="131"/>
  <c r="K243" i="131"/>
  <c r="L242" i="131"/>
  <c r="L241" i="131"/>
  <c r="L240" i="131"/>
  <c r="K240" i="131"/>
  <c r="K237" i="131"/>
  <c r="K235" i="131"/>
  <c r="L232" i="131"/>
  <c r="K231" i="131"/>
  <c r="K230" i="131"/>
  <c r="K228" i="131"/>
  <c r="L212" i="131"/>
  <c r="K212" i="131"/>
  <c r="L208" i="131"/>
  <c r="L197" i="131"/>
  <c r="L190" i="131"/>
  <c r="L189" i="131" s="1"/>
  <c r="K189" i="131"/>
  <c r="L174" i="131"/>
  <c r="K174" i="131"/>
  <c r="L152" i="131"/>
  <c r="K152" i="131"/>
  <c r="L125" i="131"/>
  <c r="L123" i="131"/>
  <c r="K123" i="131"/>
  <c r="K122" i="131" s="1"/>
  <c r="L106" i="131"/>
  <c r="L105" i="131" s="1"/>
  <c r="L104" i="131" s="1"/>
  <c r="K106" i="131"/>
  <c r="K105" i="131" s="1"/>
  <c r="K104" i="131" s="1"/>
  <c r="L86" i="131"/>
  <c r="K86" i="131"/>
  <c r="L85" i="131"/>
  <c r="K85" i="131"/>
  <c r="L81" i="131"/>
  <c r="K81" i="131"/>
  <c r="L71" i="131"/>
  <c r="K71" i="131"/>
  <c r="K58" i="131"/>
  <c r="K57" i="131" s="1"/>
  <c r="L57" i="131"/>
  <c r="L45" i="131"/>
  <c r="K45" i="131"/>
  <c r="L30" i="131"/>
  <c r="K30" i="131"/>
  <c r="L16" i="131"/>
  <c r="L15" i="131" s="1"/>
  <c r="L14" i="131" s="1"/>
  <c r="L13" i="131" s="1"/>
  <c r="L12" i="131" s="1"/>
  <c r="L11" i="131" s="1"/>
  <c r="L10" i="131" s="1"/>
  <c r="L9" i="131" s="1"/>
  <c r="K16" i="131"/>
  <c r="K15" i="131" s="1"/>
  <c r="K14" i="131" s="1"/>
  <c r="K13" i="131" s="1"/>
  <c r="K12" i="131" s="1"/>
  <c r="K11" i="131" s="1"/>
  <c r="K10" i="131" s="1"/>
  <c r="K9" i="131" s="1"/>
  <c r="L227" i="131" l="1"/>
  <c r="L122" i="131"/>
  <c r="K227" i="13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Анна Киц</author>
  </authors>
  <commentList>
    <comment ref="C1" authorId="0" shapeId="0" xr:uid="{00000000-0006-0000-0000-000001000000}">
      <text>
        <r>
          <rPr>
            <b/>
            <sz val="9"/>
            <rFont val="Tahoma"/>
            <family val="2"/>
            <charset val="204"/>
          </rPr>
          <t>ПРОЦЕСС - это серия последовательных отдельных операций, которые направлены на достижение определенного результата, представляющего ценность для потребителя
Название определяется владельцем процесса и отражает цель процесса</t>
        </r>
        <r>
          <rPr>
            <sz val="9"/>
            <rFont val="Tahoma"/>
            <family val="2"/>
            <charset val="204"/>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&lt;анонимный&gt;</author>
    <author>Коровкина Кристина Геннадьевна</author>
  </authors>
  <commentList>
    <comment ref="E3" authorId="0" shapeId="0" xr:uid="{9A8422B4-17CB-41F7-BF3D-DF5993CB0FA1}">
      <text>
        <r>
          <rPr>
            <sz val="10"/>
            <rFont val="Open Sans"/>
            <family val="2"/>
            <charset val="204"/>
          </rPr>
          <t xml:space="preserve">Наименование ОГВ, в рамках которого составлен реестр
</t>
        </r>
      </text>
    </comment>
    <comment ref="A8" authorId="1" shapeId="0" xr:uid="{F5FAB3CE-ABC6-4FF8-8B12-6D8D812FEEE9}">
      <text>
        <r>
          <rPr>
            <sz val="9"/>
            <rFont val="Tahoma"/>
            <family val="2"/>
            <charset val="204"/>
          </rPr>
          <t>Указывается сокращенное наименование ОГВ из выпадающего списка</t>
        </r>
      </text>
    </comment>
    <comment ref="B8" authorId="1" shapeId="0" xr:uid="{216E5750-EE0F-4D87-854E-EC10C35B4213}">
      <text>
        <r>
          <rPr>
            <sz val="9"/>
            <rFont val="Tahoma"/>
            <family val="2"/>
            <charset val="204"/>
          </rPr>
          <t>Сокращенное название группы процессов (проставляется из выпадающего списка)</t>
        </r>
      </text>
    </comment>
    <comment ref="C8" authorId="1" shapeId="0" xr:uid="{8D9F845B-45E6-4B26-BAD7-2FBA63A8674C}">
      <text>
        <r>
          <rPr>
            <sz val="9"/>
            <rFont val="Tahoma"/>
            <family val="2"/>
            <charset val="204"/>
          </rPr>
          <t>Указывается группа, в которую входит
процесс, согласно группировке из типового перечня процессов (проставляется из выпадающего списка)</t>
        </r>
      </text>
    </comment>
    <comment ref="D8" authorId="1" shapeId="0" xr:uid="{62C824AF-43AB-4033-AEFF-5BC766458B19}">
      <text>
        <r>
          <rPr>
            <sz val="9"/>
            <rFont val="Tahoma"/>
            <family val="2"/>
            <charset val="204"/>
          </rPr>
          <t>Процесс - это серия последовательных взаимосвязанных операций (действий), которые направлены на достижение определенного результата, представляющего ценность для потребителя</t>
        </r>
      </text>
    </comment>
    <comment ref="E8" authorId="1" shapeId="0" xr:uid="{53ED6564-D7A7-4F3E-A9D1-D41DA69ECD4E}">
      <text>
        <r>
          <rPr>
            <sz val="9"/>
            <rFont val="Tahoma"/>
            <family val="2"/>
            <charset val="204"/>
          </rPr>
          <t>Ответственный (исполнитель) - это конкретный сотрудник или команда, выполняющая отдельные задачи в рамках процесса</t>
        </r>
      </text>
    </comment>
    <comment ref="F8" authorId="1" shapeId="0" xr:uid="{6B929C86-D7D1-48D0-823D-9343841223EB}">
      <text>
        <r>
          <rPr>
            <sz val="9"/>
            <rFont val="Tahoma"/>
            <family val="2"/>
            <charset val="204"/>
          </rPr>
          <t>Целью проведения реинжиниринга процессов является совершенствование деятельности органа исполнительной власти, в том числе при взаимодействии с гражданами, а также субъектами предпринимательской и иной экономической деятельности (проставляется из выпадающего списка).
Реинжиниринг процессов состоит из следующих этапов:
1) в очереди на исследование;
2) идет исследование;
3) в очереди на реинжиниринг; 
4) проходит реинжиниринг; 
5) прошел реинжиниринг</t>
        </r>
      </text>
    </comment>
    <comment ref="G8" authorId="1" shapeId="0" xr:uid="{2813D73A-34E8-4FC6-B22E-42EBC3019B21}">
      <text>
        <r>
          <rPr>
            <sz val="9"/>
            <color rgb="FF000000"/>
            <rFont val="Tahoma"/>
            <family val="2"/>
            <charset val="204"/>
          </rPr>
          <t>Клиент - потребитель результата (выхода) процесса</t>
        </r>
      </text>
    </comment>
    <comment ref="H8" authorId="1" shapeId="0" xr:uid="{CBA8F794-404F-41AD-B207-A6CA17447B24}">
      <text>
        <r>
          <rPr>
            <sz val="9"/>
            <color rgb="FF000000"/>
            <rFont val="Tahoma"/>
            <family val="2"/>
            <charset val="204"/>
          </rPr>
          <t>Указывается исходная информация, материалы или ресурсы, которые поступают в процесс для дальнейшей обработки, преобразования или анализа. Эти данные определяют начало работы процесса и влияют на его результат</t>
        </r>
      </text>
    </comment>
    <comment ref="I8" authorId="1" shapeId="0" xr:uid="{A1C5F0D1-BFBC-4CE4-9C21-2FA15191FDD9}">
      <text>
        <r>
          <rPr>
            <sz val="9"/>
            <color rgb="FF000000"/>
            <rFont val="Tahoma"/>
            <family val="2"/>
            <charset val="204"/>
          </rPr>
          <t>Указывается какой результат получается при завершении процесса. Результатом могут быть как сведения или документ (например, справка), так и, например, всенесение записи в реестр</t>
        </r>
      </text>
    </comment>
    <comment ref="J8" authorId="1" shapeId="0" xr:uid="{F1EF1DA1-2CED-4932-9408-2A8950D9BB2C}">
      <text>
        <r>
          <rPr>
            <sz val="9"/>
            <color rgb="FF000000"/>
            <rFont val="Tahoma"/>
            <family val="2"/>
            <charset val="204"/>
          </rPr>
          <t>Указывается вид, в который входит процесс (проставляется из выпадающего списка)</t>
        </r>
      </text>
    </comment>
    <comment ref="K8" authorId="1" shapeId="0" xr:uid="{1BF23F1B-4B97-4DF7-9DCA-5C11794E8EFC}">
      <text>
        <r>
          <rPr>
            <sz val="9"/>
            <color rgb="FF000000"/>
            <rFont val="Tahoma"/>
            <family val="2"/>
            <charset val="204"/>
          </rPr>
          <t xml:space="preserve">Формула расчета  человеко-часов: 
</t>
        </r>
        <r>
          <rPr>
            <sz val="9"/>
            <color rgb="FF000000"/>
            <rFont val="Tahoma"/>
            <family val="2"/>
            <charset val="204"/>
          </rPr>
          <t xml:space="preserve">
</t>
        </r>
        <r>
          <rPr>
            <sz val="9"/>
            <color rgb="FF000000"/>
            <rFont val="Tahoma"/>
            <family val="2"/>
            <charset val="204"/>
          </rPr>
          <t xml:space="preserve">Ч = С * В,  
</t>
        </r>
        <r>
          <rPr>
            <sz val="9"/>
            <color rgb="FF000000"/>
            <rFont val="Tahoma"/>
            <family val="2"/>
            <charset val="204"/>
          </rPr>
          <t xml:space="preserve">где: 
</t>
        </r>
        <r>
          <rPr>
            <sz val="9"/>
            <color rgb="FF000000"/>
            <rFont val="Tahoma"/>
            <family val="2"/>
            <charset val="204"/>
          </rPr>
          <t xml:space="preserve">Ч — человеко-часы; 
</t>
        </r>
        <r>
          <rPr>
            <sz val="9"/>
            <color rgb="FF000000"/>
            <rFont val="Tahoma"/>
            <family val="2"/>
            <charset val="204"/>
          </rPr>
          <t xml:space="preserve">С — количество сотрудников, занятых в процессе;
</t>
        </r>
        <r>
          <rPr>
            <sz val="9"/>
            <color rgb="FF000000"/>
            <rFont val="Tahoma"/>
            <family val="2"/>
            <charset val="204"/>
          </rPr>
          <t>В — время работы</t>
        </r>
      </text>
    </comment>
    <comment ref="L8" authorId="1" shapeId="0" xr:uid="{3EB05AD4-A328-43FE-A155-BD0C780C2B51}">
      <text>
        <r>
          <rPr>
            <sz val="9"/>
            <color rgb="FF000000"/>
            <rFont val="Tahoma"/>
            <family val="2"/>
            <charset val="204"/>
          </rPr>
          <t>Указывается, сколько раз процесс повторяется в год</t>
        </r>
      </text>
    </comment>
    <comment ref="M8" authorId="1" shapeId="0" xr:uid="{BF04966D-B30C-477B-937C-8F9A1CC870C5}">
      <text>
        <r>
          <rPr>
            <sz val="9"/>
            <rFont val="Tahoma"/>
            <family val="2"/>
            <charset val="204"/>
          </rPr>
          <t>Сквозной процесс - это серия взаимосвязанных операций (действий) последовательно выполняемых разными организациями. Эти операции связаны друг с другом технологически и организационно таким образом, что каждый последующий этап основывается на результатах предыдущего этапа, и направлены на достижение определенного общего результата, представляющего ценность для граждан или государства (проставляется из выпадающего списка)</t>
        </r>
      </text>
    </comment>
    <comment ref="N8" authorId="1" shapeId="0" xr:uid="{E4F6856E-68CE-4D9D-A0BA-C76B7180DB55}">
      <text>
        <r>
          <rPr>
            <sz val="9"/>
            <color rgb="FF000000"/>
            <rFont val="Tahoma"/>
            <family val="2"/>
            <charset val="204"/>
          </rPr>
          <t>Перечислить участников (министерства/ведомства/организации), через которых проходит процесс</t>
        </r>
      </text>
    </comment>
    <comment ref="O8" authorId="1" shapeId="0" xr:uid="{810F4A0B-B2AA-4142-94AC-8D8BA85E94CF}">
      <text>
        <r>
          <rPr>
            <sz val="9"/>
            <rFont val="Tahoma"/>
            <family val="2"/>
            <charset val="204"/>
          </rPr>
          <t>Указать роль министерства в сквозном потоке (проставляется из выпадающего списка)</t>
        </r>
      </text>
    </comment>
    <comment ref="P8" authorId="1" shapeId="0" xr:uid="{4FA39A54-70C0-48DC-B3BA-F7F95A82DBCA}">
      <text>
        <r>
          <rPr>
            <sz val="9"/>
            <rFont val="Tahoma"/>
            <family val="2"/>
            <charset val="204"/>
          </rPr>
          <t>Указывается, является ли процесс бумажным (основанным на физических документах) или безбумажным (проставляется из выпадающего списка)</t>
        </r>
      </text>
    </comment>
    <comment ref="Q8" authorId="1" shapeId="0" xr:uid="{B660E22D-709E-463F-A595-CA1574AB3D8E}">
      <text>
        <r>
          <rPr>
            <sz val="9"/>
            <rFont val="Tahoma"/>
            <family val="2"/>
            <charset val="204"/>
          </rPr>
          <t>Указывается способ организации или выполнения процесса (проставляется из выпадающего списка)</t>
        </r>
      </text>
    </comment>
    <comment ref="R8" authorId="1" shapeId="0" xr:uid="{36D3CA2A-D4B9-469A-9089-28790B6B9311}">
      <text>
        <r>
          <rPr>
            <sz val="9"/>
            <rFont val="Tahoma"/>
            <family val="2"/>
            <charset val="204"/>
          </rPr>
          <t>Указывается является ли процесс машиночитаемым (проставляется из выпадающпего списка)</t>
        </r>
      </text>
    </comment>
    <comment ref="S8" authorId="1" shapeId="0" xr:uid="{14F5A380-2DEA-49A3-A5BB-8A13A1ED1E4D}">
      <text>
        <r>
          <rPr>
            <sz val="9"/>
            <rFont val="Tahoma"/>
            <family val="2"/>
            <charset val="204"/>
          </rPr>
          <t>Указывается конкретное место в электронной среде, где хранится или доступен цифровой документ</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&lt;анонимный&gt;</author>
    <author>Коровкина Кристина Геннадьевна</author>
  </authors>
  <commentList>
    <comment ref="E3" authorId="0" shapeId="0" xr:uid="{62BF714D-812A-AE40-8A41-32E51E2EC0FD}">
      <text>
        <r>
          <rPr>
            <sz val="10"/>
            <rFont val="Open Sans"/>
            <family val="2"/>
            <charset val="204"/>
          </rPr>
          <t xml:space="preserve">Наименование ОГВ, в рамках которого составлен реестр
</t>
        </r>
      </text>
    </comment>
    <comment ref="A8" authorId="1" shapeId="0" xr:uid="{6953925C-66EA-6649-8F76-88D208FE1D8F}">
      <text>
        <r>
          <rPr>
            <sz val="9"/>
            <rFont val="Tahoma"/>
            <family val="2"/>
            <charset val="204"/>
          </rPr>
          <t>Указывается сокращенное наименование ОГВ из выпадающего списка</t>
        </r>
      </text>
    </comment>
    <comment ref="B8" authorId="1" shapeId="0" xr:uid="{A6B2BA1C-E201-DB46-B457-39149F9C70A4}">
      <text>
        <r>
          <rPr>
            <sz val="9"/>
            <rFont val="Tahoma"/>
            <family val="2"/>
            <charset val="204"/>
          </rPr>
          <t>Сокращенное название группы процессов (проставляется из выпадающего списка)</t>
        </r>
      </text>
    </comment>
    <comment ref="C8" authorId="1" shapeId="0" xr:uid="{2D3B443F-43DD-274A-9659-7E903FECEFB6}">
      <text>
        <r>
          <rPr>
            <sz val="9"/>
            <rFont val="Tahoma"/>
            <family val="2"/>
            <charset val="204"/>
          </rPr>
          <t>Указывается группа, в которую входит
процесс, согласно группировке из типового перечня процессов (проставляется из выпадающего списка)</t>
        </r>
      </text>
    </comment>
    <comment ref="D8" authorId="1" shapeId="0" xr:uid="{891054E4-E699-D446-B522-59005EDE60CF}">
      <text>
        <r>
          <rPr>
            <sz val="9"/>
            <rFont val="Tahoma"/>
            <family val="2"/>
            <charset val="204"/>
          </rPr>
          <t>Процесс - это серия последовательных взаимосвязанных операций (действий), которые направлены на достижение определенного результата, представляющего ценность для потребителя</t>
        </r>
      </text>
    </comment>
    <comment ref="E8" authorId="1" shapeId="0" xr:uid="{58E49082-F9A5-1649-9996-F04E19C9ACBE}">
      <text>
        <r>
          <rPr>
            <sz val="9"/>
            <rFont val="Tahoma"/>
            <family val="2"/>
            <charset val="204"/>
          </rPr>
          <t>Ответственный (исполнитель) - это конкретный сотрудник или команда, выполняющая отдельные задачи в рамках процесса</t>
        </r>
      </text>
    </comment>
    <comment ref="F8" authorId="1" shapeId="0" xr:uid="{BA645DB5-B5FC-0D45-8388-7602158C8EBD}">
      <text>
        <r>
          <rPr>
            <sz val="9"/>
            <rFont val="Tahoma"/>
            <family val="2"/>
            <charset val="204"/>
          </rPr>
          <t>Целью проведения реинжиниринга процессов является совершенствование деятельности органа исполнительной власти, в том числе при взаимодействии с гражданами, а также субъектами предпринимательской и иной экономической деятельности (проставляется из выпадающего списка).
Реинжиниринг процессов состоит из следующих этапов:
1) в очереди на исследование;
2) идет исследование;
3) в очереди на реинжиниринг; 
4) проходит реинжиниринг; 
5) прошел реинжиниринг</t>
        </r>
      </text>
    </comment>
    <comment ref="G8" authorId="1" shapeId="0" xr:uid="{43D35D62-B5E2-3748-A6BC-FE2039D54535}">
      <text>
        <r>
          <rPr>
            <sz val="9"/>
            <rFont val="Tahoma"/>
            <family val="2"/>
            <charset val="204"/>
          </rPr>
          <t>Клиент - потребитель результата (выхода) процесса</t>
        </r>
      </text>
    </comment>
    <comment ref="H8" authorId="1" shapeId="0" xr:uid="{B7ABE289-290B-CF45-B44B-44F74C6E1FDC}">
      <text>
        <r>
          <rPr>
            <sz val="9"/>
            <rFont val="Tahoma"/>
            <family val="2"/>
            <charset val="204"/>
          </rPr>
          <t>Указывается исходная информация, материалы или ресурсы, которые поступают в процесс для дальнейшей обработки, преобразования или анализа. Эти данные определяют начало работы процесса и влияют на его результат</t>
        </r>
      </text>
    </comment>
    <comment ref="I8" authorId="1" shapeId="0" xr:uid="{DE21CAC2-1E06-F14A-AACF-5F3E3CFD7D66}">
      <text>
        <r>
          <rPr>
            <sz val="9"/>
            <rFont val="Tahoma"/>
            <family val="2"/>
            <charset val="204"/>
          </rPr>
          <t>Указывается какой результат получается при завершении процесса. Результатом могут быть как сведения или документ (например, справка), так и, например, всенесение записи в реестр</t>
        </r>
      </text>
    </comment>
    <comment ref="J8" authorId="1" shapeId="0" xr:uid="{D3B8CCED-2819-3D47-965C-A9B2D826E3AB}">
      <text>
        <r>
          <rPr>
            <sz val="9"/>
            <rFont val="Tahoma"/>
            <family val="2"/>
            <charset val="204"/>
          </rPr>
          <t>Указывается вид, в который входит процесс (проставляется из выпадающего списка)</t>
        </r>
      </text>
    </comment>
    <comment ref="K8" authorId="1" shapeId="0" xr:uid="{3A5B579D-A349-544D-B372-653F333F2E7B}">
      <text>
        <r>
          <rPr>
            <sz val="9"/>
            <rFont val="Tahoma"/>
            <family val="2"/>
            <charset val="204"/>
          </rPr>
          <t>Формула расчета  человеко-часов: 
Ч = С * В,  
где: 
Ч — человеко-часы; 
С — количество сотрудников, занятых в процессе;
В — время работы</t>
        </r>
      </text>
    </comment>
    <comment ref="L8" authorId="1" shapeId="0" xr:uid="{FE2639D4-D1E2-CA4D-BC65-CD567A02F778}">
      <text>
        <r>
          <rPr>
            <sz val="9"/>
            <color rgb="FF000000"/>
            <rFont val="Tahoma"/>
            <family val="2"/>
            <charset val="204"/>
          </rPr>
          <t>Указывается, сколько раз процесс повторяется в год</t>
        </r>
      </text>
    </comment>
    <comment ref="M8" authorId="1" shapeId="0" xr:uid="{1C08C917-B2C0-984C-9D23-9C0EDC8AA9D6}">
      <text>
        <r>
          <rPr>
            <sz val="9"/>
            <rFont val="Tahoma"/>
            <family val="2"/>
            <charset val="204"/>
          </rPr>
          <t>Сквозной процесс - это серия взаимосвязанных операций (действий) последовательно выполняемых разными организациями. Эти операции связаны друг с другом технологически и организационно таким образом, что каждый последующий этап основывается на результатах предыдущего этапа, и направлены на достижение определенного общего результата, представляющего ценность для граждан или государства (проставляется из выпадающего списка)</t>
        </r>
      </text>
    </comment>
    <comment ref="N8" authorId="1" shapeId="0" xr:uid="{6A491368-6361-E048-9005-0E12C85936EE}">
      <text>
        <r>
          <rPr>
            <sz val="9"/>
            <color rgb="FF000000"/>
            <rFont val="Tahoma"/>
            <family val="2"/>
            <charset val="204"/>
          </rPr>
          <t>Перечислить участников (министерства/ведомства/организации), через которых проходит процесс</t>
        </r>
      </text>
    </comment>
    <comment ref="O8" authorId="1" shapeId="0" xr:uid="{33F0E7C6-6E04-0E44-87CE-28205E0FDC1B}">
      <text>
        <r>
          <rPr>
            <sz val="9"/>
            <rFont val="Tahoma"/>
            <family val="2"/>
            <charset val="204"/>
          </rPr>
          <t>Указать роль министерства в сквозном потоке (проставляется из выпадающего списка)</t>
        </r>
      </text>
    </comment>
    <comment ref="P8" authorId="1" shapeId="0" xr:uid="{C14A1A3A-EF60-D040-AEAD-76B9B655AC3E}">
      <text>
        <r>
          <rPr>
            <sz val="9"/>
            <rFont val="Tahoma"/>
            <family val="2"/>
            <charset val="204"/>
          </rPr>
          <t>Указывается, является ли процесс бумажным (основанным на физических документах) или безбумажным (проставляется из выпадающего списка)</t>
        </r>
      </text>
    </comment>
    <comment ref="Q8" authorId="1" shapeId="0" xr:uid="{EB8231CD-21EA-2341-8F98-66827589A9B3}">
      <text>
        <r>
          <rPr>
            <sz val="9"/>
            <rFont val="Tahoma"/>
            <family val="2"/>
            <charset val="204"/>
          </rPr>
          <t>Указывается способ организации или выполнения процесса (проставляется из выпадающего списка)</t>
        </r>
      </text>
    </comment>
    <comment ref="R8" authorId="1" shapeId="0" xr:uid="{47947AE7-7C07-E240-AB09-722787696014}">
      <text>
        <r>
          <rPr>
            <sz val="9"/>
            <rFont val="Tahoma"/>
            <family val="2"/>
            <charset val="204"/>
          </rPr>
          <t>Указывается является ли процесс машиночитаемым (проставляется из выпадающпего списка)</t>
        </r>
      </text>
    </comment>
    <comment ref="S8" authorId="1" shapeId="0" xr:uid="{65ADB5E2-6649-F145-BE3E-412D18D47D64}">
      <text>
        <r>
          <rPr>
            <sz val="9"/>
            <rFont val="Tahoma"/>
            <family val="2"/>
            <charset val="204"/>
          </rPr>
          <t>Указывается конкретное место в электронной среде, где хранится или доступен цифровой документ</t>
        </r>
      </text>
    </comment>
  </commentList>
</comments>
</file>

<file path=xl/sharedStrings.xml><?xml version="1.0" encoding="utf-8"?>
<sst xmlns="http://schemas.openxmlformats.org/spreadsheetml/2006/main" count="5150" uniqueCount="1324">
  <si>
    <t>Блок</t>
  </si>
  <si>
    <t>Идентификатор процесса</t>
  </si>
  <si>
    <t>Группы процессов</t>
  </si>
  <si>
    <t>Примечание</t>
  </si>
  <si>
    <r>
      <rPr>
        <sz val="20"/>
        <color rgb="FFC00000"/>
        <rFont val="Calibri"/>
        <family val="2"/>
        <charset val="204"/>
        <scheme val="minor"/>
      </rPr>
      <t>ВАЖНО!!!</t>
    </r>
    <r>
      <rPr>
        <sz val="20"/>
        <color theme="1"/>
        <rFont val="Calibri"/>
        <family val="2"/>
        <charset val="204"/>
        <scheme val="minor"/>
      </rPr>
      <t xml:space="preserve">
При кодировании подпроцессов присваиваем им идентификатор в соответствии с группой процессов, но визуально сохраняем цвет исходного процесса.</t>
    </r>
  </si>
  <si>
    <t>ОП.ГУ.</t>
  </si>
  <si>
    <t>ОП.1. Предоставление Государственных услуг</t>
  </si>
  <si>
    <t>ОП.МГП.</t>
  </si>
  <si>
    <t>ОП.2. Предоставление мер государственной поддержки</t>
  </si>
  <si>
    <t>ОП.</t>
  </si>
  <si>
    <t>ОП.3. Основные процессы ОГВ</t>
  </si>
  <si>
    <t>Основные процессы — это совокупность действий, которые осуществляются органом исполнительной власти для достижения определённых целей и задач, предусмотренных его компетенцией</t>
  </si>
  <si>
    <t>ОП.КНД.</t>
  </si>
  <si>
    <t>ОП.4. Осуществление контрольно-надзорной деятельности</t>
  </si>
  <si>
    <t>ОП.НПС.</t>
  </si>
  <si>
    <t>ОП.5. Нормативно-правовое сопровождение</t>
  </si>
  <si>
    <t>Группа процессов охватывает все этапы работы с документами, регулирующими деятельность ОГВ, включая их разработку, согласование, применение и контроль соблюдения. Эти процессы обеспечивают юридическую безопасность и соответствие законодательству. Кроме того, в эту категорию входят планы работы, которые координируют выполнение задач</t>
  </si>
  <si>
    <t>ОП.ГП.</t>
  </si>
  <si>
    <t>ОП.6. Госпрограммы</t>
  </si>
  <si>
    <t>Группа процессов включает в себя комплекс мероприятий, связанных с разработкой, реализацией, контролем и оценкой государственных программ, направленных на достижение стратегических целей в различных сферах (не включая запросы от вышестоящих организаций). 
Для корректного распределения процессов ОГВ по выдачи субсидий в рамках госпрограммы, следует отображать данные субсидии вспомогательным (ВП.10.4. цвет оставляем основного процесса) процессом, входящим в основной (зеленый) процесс реализации госпрограммы. При этом в наименовании подпроцесса необходимо четко указывать, в рамках какой именно госпрограммы осуществляется выделение средств.</t>
  </si>
  <si>
    <t>ОП.ОТЧЕТЫ.</t>
  </si>
  <si>
    <t>ОП.7. Сбор и формирование отчетов, мониторинг и аналитика</t>
  </si>
  <si>
    <t>ОП.КОНКУРСЫ. МЕРОПРИЯТИЯ.</t>
  </si>
  <si>
    <t>ОП.8. Организация и проведение мероприятий</t>
  </si>
  <si>
    <t>ОП.ОБРАЩЕНИЯ.</t>
  </si>
  <si>
    <t>ОП.9. Работа с обращениями, в том числе юр. консультации</t>
  </si>
  <si>
    <t>Группа процессов включает в себя комплекс действий по приему, обработке, исполнению и контролю обращений граждан или организаций, а т.к же включает комплекс мероприятий по предоставлению правовой поддержки физическим и юридическим лицам.</t>
  </si>
  <si>
    <t>2.</t>
  </si>
  <si>
    <t>ВП.ФИН.</t>
  </si>
  <si>
    <t>ВП.10. Типовые процессы по финансам</t>
  </si>
  <si>
    <t>Комплекс процессов, направленных на управление финансами, распределению и использованию денежных средств, необходимых для выполнения функций ОГВ</t>
  </si>
  <si>
    <t>ВП.ПЛАН.Б.</t>
  </si>
  <si>
    <t>ВП.10.1. Планирование бюджета</t>
  </si>
  <si>
    <t>Подготовка и направление обоснований бюджетных ассигнований к проекту закона об областном бюджете
Подготовка и направление изменений в закон об областном бюджете
Планирование доходов (для администраторов доходов)
Формирование РРО
Подготовка и направление предложений об изменении бюджетной классификации
Ведение и изменение бюджетной росписи
Формирование и изменение плана ФХД (Сметы)</t>
  </si>
  <si>
    <t>ВП.ИСП.Б.</t>
  </si>
  <si>
    <t>ВП.10.2. Исполнение бюджета и составление финансовой отчетности</t>
  </si>
  <si>
    <t>Ведение учета исполнения бюджета
Формирование и изменение кассового плана
Осуществление кассовых выплат
Взаимодействие с ЦБУ по вопросам исполнения бюджета 
Взаимодействие с ЦБУ по вопросам ведения бюджетного (бухгалтерского) учета
Составление финансовой отчетности
Составление бухгалтерской отчетности</t>
  </si>
  <si>
    <t>ВП.ЗАКУП.</t>
  </si>
  <si>
    <t>ВП.10.3. Осуществление закупочных процедур</t>
  </si>
  <si>
    <t>Формирование и изменение плана-графика закупок
Обоснование Н(М)ЦК
Описание объекта закупки и подготовка технического задания 
Подготовка извещения 
Рассмотрение запросов участников закупки и подготовка разъяснений 
Рассмотрение заявок и подведение итогов определения поставщика 
Заключение контракта 
Ведение претензионной работы 
Приемка товаров, работ, услуг 
Обеспечение оплаты по контрактам 
Размещение в ЕИС информации в соответствии с №44-ФЗ</t>
  </si>
  <si>
    <t>ВП.СУБС.</t>
  </si>
  <si>
    <t>ВП.10.4. Предоставление субсидий</t>
  </si>
  <si>
    <t>Предоставление финансовой поддержки на выполнение государственного задания и государственных заказов внутреннему клиенту (структурам аппарата правительства и подведомственным организациям).
Подготовка НПА
Проведение отбора на предоставление субсидий внутреннему клиенту
Осуществление мониторинга предоставления субсидий внутреннему клиенту
Проверка результатов предоставления субсидий внутреннему клиенту</t>
  </si>
  <si>
    <t>ВП.МБТ.МО.</t>
  </si>
  <si>
    <t>ВП.10.5. Предоставление органам местного самоуправления межбюджетных трансфертов</t>
  </si>
  <si>
    <t>Подготовка НПА
Проведение отбора на предоставление субсидий ОМС
Проверка результатов предоставления субсидий ОМС
Осуществление контроля за соблюдением условий предоставления субсидий ОМС</t>
  </si>
  <si>
    <t>ВП.БУХУЧЕТ.</t>
  </si>
  <si>
    <t>ВП.11. Бухгалтерский учет</t>
  </si>
  <si>
    <t>Совокупность операций, которые отражают факты финансово-хозяйственной деятельности ОГВ</t>
  </si>
  <si>
    <t>ВП.УЧЕТ ОС.</t>
  </si>
  <si>
    <t>ВП.11.1. Учет основных средств</t>
  </si>
  <si>
    <t>Группа процессов включает комплекс мероприятий по учёту наличия и движения основных средств, их износа и ремонта</t>
  </si>
  <si>
    <t>ВП.ВБК.</t>
  </si>
  <si>
    <t>ВП.11.2. Внутренний бухгалтерский контроль</t>
  </si>
  <si>
    <t>Группа процессов включает комплекс мероприятий по проверке достоверности бухгалтерского и налогового учета, соблюдения финансовой дисциплины и предотвращению ошибок/нарушений</t>
  </si>
  <si>
    <t>ВП.РАСЧЕТ ЗП.</t>
  </si>
  <si>
    <t>ВП.11.3. Расчет заработной платы</t>
  </si>
  <si>
    <t>Группа процессов включает комплекс мероприятий по начислению, удержанию и выплате вознаграждения сотрудникам в соответствии с трудовым законодательством РФ (ТК РФ, НК РФ) и внутренними регламентами</t>
  </si>
  <si>
    <t>ВП.КАЗНА.</t>
  </si>
  <si>
    <t>ВП.11.4. Управление казначейскими операциями</t>
  </si>
  <si>
    <t>Группа процессов включает комплекс мероприятий по контролю денежных потоков, обеспечению ликвидности и минимизации финансовых рисков</t>
  </si>
  <si>
    <t>ВП.НАЛОГИ.</t>
  </si>
  <si>
    <t>ВП.11.5. Налоги</t>
  </si>
  <si>
    <t>Группа процессов включает комплекс мероприятий по расчету, учету, начислению и уплате налоговых обязательств организации в соответствии с законодательством РФ</t>
  </si>
  <si>
    <t>ВП.УЧЕТ.АКТИВЫ.</t>
  </si>
  <si>
    <t>ВП.11.6. Учет материальных/нематериальных активов</t>
  </si>
  <si>
    <t>Группа процессов включает комплекс мероприятий по отражению в бухгалтерском и налоговом учете операций с активами организации</t>
  </si>
  <si>
    <t>ВП.РАСЧЕТЫ С ПОСТАВЩ.</t>
  </si>
  <si>
    <t>ВП.11.7. Учет расчетов с поставщиками и подрядчиками</t>
  </si>
  <si>
    <t>Группа процессов включает комплекс мероприятий по отражению и контролю финансовых обязательств организации перед контрагентами за полученные товары, работы или услуги</t>
  </si>
  <si>
    <t>ВП.СПРАВКИ.</t>
  </si>
  <si>
    <t>ВП.11.8. Выдача справок</t>
  </si>
  <si>
    <t>Группа процессов включает комплекс мероприятий по подготовке, оформлению и предоставлению документов, подтверждающих бухгалтерскую деятельность или статус сотрудника</t>
  </si>
  <si>
    <t>ВП.ПОДОТЧЕТН.РАСХ.</t>
  </si>
  <si>
    <t>ВП.11.9. Учет подотчетных средств</t>
  </si>
  <si>
    <t xml:space="preserve">Группа процессов включает комплекс мероприятий по оформлению, контролю и отражению в учете операций с денежными средствами, выданными сотрудникам на хозяйственные и командировочные расходы, а также представительские расходы 
(приобретение канцелярии, хозяйственного инвентаря, обслуживание офисной техники и т.д.)                                 </t>
  </si>
  <si>
    <t>ВП.БОЛЬНИЧ.</t>
  </si>
  <si>
    <t>ВП.11.10. Расчет больничного</t>
  </si>
  <si>
    <t>Группа процессов включает комплекс мероприятий по начислению и выплате пособий по временной нетрудоспособности в соответствии с законодательством РФ</t>
  </si>
  <si>
    <t>3.</t>
  </si>
  <si>
    <t>ВП.ИТ-сопровождение.</t>
  </si>
  <si>
    <t>ВП.12. ИТ-сопровождение</t>
  </si>
  <si>
    <t>Комплексное обслуживание, направленное на обеспечение бесперебойной работы IT-инфраструктуры ОГВ</t>
  </si>
  <si>
    <t>ВП.ИТ-ОБЕСПЕЧЕНИЕ.</t>
  </si>
  <si>
    <t>ВП.12.1. ИТ-обеспечение</t>
  </si>
  <si>
    <t>Группа процессов включает комплекс мероприятий, направленных на поддержание работоспособности, сопровождение и установку оборудования</t>
  </si>
  <si>
    <t>ВП.ИТ-СИСТЕМЫ.</t>
  </si>
  <si>
    <t>ВП.12.2. ГИС, информационные системы</t>
  </si>
  <si>
    <t>Группа процессов включает комплекс мероприятий по разработке, внедрению, эксплуатации и сопровождению информационных систем (внесение данных в  информационные системы не входит в перечень рассматриваемых процессов и относится к группе ОП.ОТЧЕТЫ.)</t>
  </si>
  <si>
    <t>ВП.ИНФБЕЗ.</t>
  </si>
  <si>
    <t>ВП.12.3. Информационная безопасность</t>
  </si>
  <si>
    <t>Управление рисками, политика конфиденциальности, техническое обеспечение (резервное копирование, антивирус), организационные структуры (ответственные), проведение аудита безопасности, контроль и мониторинг защищенности</t>
  </si>
  <si>
    <t>4.</t>
  </si>
  <si>
    <t>ВП.КАДР.ДЕЛО.</t>
  </si>
  <si>
    <t>ВП.13. Ведение кадрового делопроизводства</t>
  </si>
  <si>
    <t>Группа процессов включает в себя все этапы реализации кадровой политики (оформление приказов, трудовых договоров, личных дел, ведение графика отпусков, работа с расчётными и больничными листами), а также взаимодействие с внешними клиентами (физическими лицами и организациями)</t>
  </si>
  <si>
    <t>ВП.КАДР.УЧЕТ.</t>
  </si>
  <si>
    <t>ВП.13.1. Кадровый учет</t>
  </si>
  <si>
    <t>Группа процессов охватывает все этапы работы с персоналом — от приема до увольнения, включая документальное сопровождение, расчеты и соблюдение трудового законодательства</t>
  </si>
  <si>
    <t>ВП.НАГРАДЫ.</t>
  </si>
  <si>
    <t>ВП.13.2. Ведение наградной работы</t>
  </si>
  <si>
    <t>Группа процессов включает комплекс мероприятий, связанных с выявлением, оформлением, согласованием и вручением наград внутреннему клиенту (сотрудникам, подразделениям) и внешнему клиенту (физическим лицам и организациям)</t>
  </si>
  <si>
    <t>ВП.КАДР.ДОК.</t>
  </si>
  <si>
    <t>ВП.13.3. Кадровый документооборот</t>
  </si>
  <si>
    <t>Группа процессов  включает в себя все этапы работы с документами, связанными с трудовыми отношениями, от их создания до архивирования в, т.ч. Приказы по личному составу</t>
  </si>
  <si>
    <t>ВП.ОТ.</t>
  </si>
  <si>
    <t>ВП.13.4. ОТ (охрана труда)</t>
  </si>
  <si>
    <t>Группа процессов включает комплекс мероприятий, направленных на обеспечение безопасности, сохранение здоровья и жизни сотрудников во время трудовой деятельности</t>
  </si>
  <si>
    <t>ВП.ГОСТАЙНА.</t>
  </si>
  <si>
    <t>ВП.13.5. Гостайна</t>
  </si>
  <si>
    <t xml:space="preserve">Группа процессов включает комплекс мероприятий, направленных на защиту сведений, составляющих государственную тайну, в соответствии с законодательством РФ </t>
  </si>
  <si>
    <t>ВП.ЗП.</t>
  </si>
  <si>
    <t>ВП.13.6. Документы к расчету заработной платы и других выплат</t>
  </si>
  <si>
    <t>Группа процессов включает в себя комплекс мероприятий по подготовке, оформлению, проверке и хранению документов, необходимых для корректного начисления и выплаты заработной платы и вознаграждений сотрудникам</t>
  </si>
  <si>
    <t>5.</t>
  </si>
  <si>
    <t>ВП.HR-ЦИКЛ.</t>
  </si>
  <si>
    <t>ВП.14. HR-цикл</t>
  </si>
  <si>
    <t xml:space="preserve">Совокупность мероприятий, связанных с привлечением, развитием и удержанием сотрудников в ОГВ (они охватывают весь жизненный цикл сотрудника: от поиска и найма до увольнения) </t>
  </si>
  <si>
    <t>ВП.ОППП.</t>
  </si>
  <si>
    <t>ВП.14.1. Формирование оргструктуры и планирование потребности в персонале</t>
  </si>
  <si>
    <t>Группа процессов включает комплекс мероприятий по проектированию оптимальной структуры ОГВ, определению численности сотрудников и стратегическому управлению человеческими ресурсами</t>
  </si>
  <si>
    <t>ВП.ПЕРСОНАЛ.</t>
  </si>
  <si>
    <t>ВП.14.2. Подбор и адаптация персонала</t>
  </si>
  <si>
    <t>Группа процессов включает комплекс мероприятий по поиску, оценке, найму и интеграции сотрудников в ОГВ, включая практику студентов</t>
  </si>
  <si>
    <t xml:space="preserve">ВП.АТТЕСТАЦИЯ. </t>
  </si>
  <si>
    <t>ВП.14.3. Аттестация и оценка эффективности</t>
  </si>
  <si>
    <t>Группа процессов включает комплекс мероприятий по анализу профессиональных качеств, компетенций и результатов работы сотрудников</t>
  </si>
  <si>
    <t xml:space="preserve">ВП.ОБУЧЕНИЕ. </t>
  </si>
  <si>
    <t xml:space="preserve">ВП.14.4. Организация обучения </t>
  </si>
  <si>
    <t>Группа процессов включает комплекс мероприятий, направленных на повышение профессиональных компетенций, адаптацию новых сотрудников, а также финансовую компенсацию затрат на образовательные программы</t>
  </si>
  <si>
    <t xml:space="preserve">ВП.МОТИВАЦИЯ. </t>
  </si>
  <si>
    <t>ВП.14.5. Мотивация и вовлеченность</t>
  </si>
  <si>
    <t>Группа процессов включает комплекс мероприятий, направленных на повышение лояльности сотрудников, их продуктивности и эмоциональной вовлеченности в работу.</t>
  </si>
  <si>
    <t>ВП.КАДР.РЕЗЕРВ.</t>
  </si>
  <si>
    <t>ВП.14.6. Планирование карьеры, развитие и продвижение</t>
  </si>
  <si>
    <t>Группа процессов включает комплекс мероприятий, направленных на развитие профессионального пути сотрудников и формирование кадрового резерва</t>
  </si>
  <si>
    <t>6.</t>
  </si>
  <si>
    <t>ВП.Мобподготовка, ГО и ЧС, РСП.</t>
  </si>
  <si>
    <t>ВП.15. Мобподготовка, ГО и ЧС, РСП</t>
  </si>
  <si>
    <t>Группа процессов включает деятельность по обеспечению безопасности, устойчивости управления и реагирования на чрезвычайные ситуации (ЧС)</t>
  </si>
  <si>
    <t>ВП.МОБРАБОТА.</t>
  </si>
  <si>
    <t>ВП.15.1. Мобилизационная работа</t>
  </si>
  <si>
    <t>Группа процессов включает комплекс мероприятий, направленных на подготовку и обеспечение функционирования ОГВ, предприятий и государственных структур в условиях военного времени, чрезвычайных ситуаций или специальных периодов</t>
  </si>
  <si>
    <t>ВП.ГОиЧС.</t>
  </si>
  <si>
    <t xml:space="preserve">ВП.15.2. ГО и ЧС </t>
  </si>
  <si>
    <t>Группа процессов включает комплекс мероприятий, направленных на защиту населения, материальных ценностей и территорий от природных, техногенных и военных угроз</t>
  </si>
  <si>
    <t>ВП.РСП.</t>
  </si>
  <si>
    <t>ВП.15.3. РСП</t>
  </si>
  <si>
    <t>Группа процессов включает в себя комплекс мероприятий, связанных с организацией помещения, техникой и персонала, организованных и подготовленных для ведения секретного делопроизводства</t>
  </si>
  <si>
    <t>7.</t>
  </si>
  <si>
    <t>ВП.СМИ.</t>
  </si>
  <si>
    <t>ВП.16. Обеспечение доступа к информации о деятельности ОГВ, ФОИВ, АП</t>
  </si>
  <si>
    <t>Группа процессов включает механизмы информирования граждан и организаций о работе органов власти в соответствии с принципами открытости и прозрачности</t>
  </si>
  <si>
    <t>ВП.PR.</t>
  </si>
  <si>
    <t>ВП.16.1. Организация и проведение PR-мероприятий</t>
  </si>
  <si>
    <t>Группа процессов включает комплекс действий, направленных на формирование положительного имиджа государства и ОГВ, продвижение бренда и взаимодействие с целевой аудиторией через специальные события</t>
  </si>
  <si>
    <t>ВП.ИНФОПОВОДЫ.</t>
  </si>
  <si>
    <t>ВП.16.2. Работа с инфоповодами</t>
  </si>
  <si>
    <t>Группа процессов включает комплекс мероприятий по выявлению, созданию и использованию информационных поводов для PR-продвижения, повышения медиавидимости и управления репутацией государства и ОГВ</t>
  </si>
  <si>
    <t>8.</t>
  </si>
  <si>
    <t>ВП.ПРОЧЕЕ.</t>
  </si>
  <si>
    <t>ВП.17. Прочее</t>
  </si>
  <si>
    <t>Группа процессов включает все процессы, которые не относятся к основной деятельности, но необходимы для работы органов власти</t>
  </si>
  <si>
    <t>ВП.АХД.</t>
  </si>
  <si>
    <t>ВП.17.1. АХД</t>
  </si>
  <si>
    <t>Административно-хозяйственная деятельность включает комплекс мероприятий по обеспечению функционирования офиса, поддержанию инфраструктуры и созданию комфортных условий для работы сотрудников</t>
  </si>
  <si>
    <t>ВП.АРХИВ.</t>
  </si>
  <si>
    <t>ВП.17.2. Архивное дело</t>
  </si>
  <si>
    <t>Группа процессов включает комплекс мероприятий по организации хранения, учёта, использования и уничтожения документов в соответствии с законодательством РФ</t>
  </si>
  <si>
    <t>ВП.АНТ.КОМ.</t>
  </si>
  <si>
    <t>ВП.17.3. Антимонопольный комплаенс</t>
  </si>
  <si>
    <t>Группа процессов содержит систему внутренних мер, направленных на соблюдение требований антимонопольного законодательства и минимизацию рисков нарушений</t>
  </si>
  <si>
    <t>ГЛОССАРИЙ</t>
  </si>
  <si>
    <t>это серия последовательных взаимосвязанных операций (действий), которые направлены на достижение определенного результата, представляющего ценность для потребителя</t>
  </si>
  <si>
    <t>Виды процессов:</t>
  </si>
  <si>
    <t xml:space="preserve">Основные процессы </t>
  </si>
  <si>
    <t>это виды деятельности, непосредственно направленные на выполнение государственных функций и полномочий, предусмотренных законом. Они связаны с реализацией основных целей и задач органа государственной власти и обеспечивают достижение результатов, ради которых орган существует. Например, основными процессами могут быть принятие нормативных правовых актов, осуществление контроля и надзора, предоставление государственных услуг населению и организациям.</t>
  </si>
  <si>
    <t>это деятельность, направленная на поддержку и обеспечение функционирования основных процессов. Эти процессы необходимы для эффективной реализации основных функций органа государственной власти, но сами по себе не приводят к достижению конечных целей организации. Примеры вспомогательных процессов в органах государственной власти: - Кадровое обеспечение и подбор персонала. - Финансовое и бухгалтерское сопровождение. - Информационно-техническое обслуживание. - Документирование и архивирование документов. - Управление материальными ресурсами.</t>
  </si>
  <si>
    <t>это более узкий и специализированный этап или задача в рамках основного процесса</t>
  </si>
  <si>
    <t>Действие</t>
  </si>
  <si>
    <t>это операция, выполняющаяся на определённом шаге процесса</t>
  </si>
  <si>
    <t>Экземпляр процесса</t>
  </si>
  <si>
    <t>это конкретный случай исполнения процесса, запускаемый определённым событием и проходящий последовательно через этапы (действия), предусмотренные процессом. Каждый экземпляр уникален и соответствует выполнению конкретной операции, события или задания. Например, рассмотрение конкретного обращения гражданина органами власти является экземпляром процесса рассмотрения обращений.
Например, рассмотрение конкретного обращения гражданина органами власти является экземпляром процесса рассмотрения обращений.</t>
  </si>
  <si>
    <t>Ценность</t>
  </si>
  <si>
    <t>это польза, которую продукт или услуга приносит конечному потребителю, и за которую он готов платить. Все, что не создает такой ценности, считается потерями</t>
  </si>
  <si>
    <t>Клиент</t>
  </si>
  <si>
    <t>потребитель результата (выхода) процесса</t>
  </si>
  <si>
    <t>Оптимизация (реинжиниринг)</t>
  </si>
  <si>
    <t>деятельность, основанная на методологии и технологиях, направленная на реформирование или перепроектирование услуг и сервисов в целях оптимизации деятельности органов власти и уполномоченных организаций</t>
  </si>
  <si>
    <t>Этапы оптимизации (реинжиниринга):</t>
  </si>
  <si>
    <t>1) в очереди на исследование (ставится на все процессы, для которых не определены даты реинжиниринга)                                                                 
2) идет исследование (составлен паспорт проекта оптимизации процесса, проводится картирование, замеры и аналитика по процессу) 
3) в очереди на реинжиниринг (составлена дорожная карта по реинжинирингу) 
4) проходит реинжиниринг (ставится при выполнении пунктов дорожной карты) 
5) прошел реинжиниринг (процесс оптимизирован)</t>
  </si>
  <si>
    <t>ОТЛИЧИЯ ПРОЦЕССА ОТ ПРОЕКТА</t>
  </si>
  <si>
    <t xml:space="preserve">Пример для понимания  </t>
  </si>
  <si>
    <t>Ключевые отличия ПРОЦЕССА от ПРОЕКТА:</t>
  </si>
  <si>
    <t>Критерий</t>
  </si>
  <si>
    <t>Процесс</t>
  </si>
  <si>
    <t>Проект</t>
  </si>
  <si>
    <t>Длительность</t>
  </si>
  <si>
    <t xml:space="preserve">Постоянный, циклический </t>
  </si>
  <si>
    <t xml:space="preserve">Временный, имеет срок </t>
  </si>
  <si>
    <t>Цель</t>
  </si>
  <si>
    <t xml:space="preserve">Поддержание операций </t>
  </si>
  <si>
    <t>Достижение уникального результата</t>
  </si>
  <si>
    <t>Повторяемость</t>
  </si>
  <si>
    <t>Одинаковые действия</t>
  </si>
  <si>
    <t xml:space="preserve">Уникальные задачи </t>
  </si>
  <si>
    <t>Гибкость</t>
  </si>
  <si>
    <t>Жёсткие правила</t>
  </si>
  <si>
    <t>Адаптация под изменения</t>
  </si>
  <si>
    <t>№</t>
  </si>
  <si>
    <t>Сокращенное наименование ОГВ</t>
  </si>
  <si>
    <t xml:space="preserve">Полное наименование ОГВ/подвед </t>
  </si>
  <si>
    <t>Госстройнадзор</t>
  </si>
  <si>
    <t>Гостехнадзор</t>
  </si>
  <si>
    <t>ГЖИ</t>
  </si>
  <si>
    <t>Государственная жилищная инспекция</t>
  </si>
  <si>
    <t>МВП</t>
  </si>
  <si>
    <t>Министерство внутренней политики</t>
  </si>
  <si>
    <t>МЖКХ</t>
  </si>
  <si>
    <t>Министерство жилищно-коммунального хозяйства</t>
  </si>
  <si>
    <t>Здрав</t>
  </si>
  <si>
    <t>Министерство здравоохранения</t>
  </si>
  <si>
    <t>МИЗО</t>
  </si>
  <si>
    <t>Министерство имущественных и земельных отношений</t>
  </si>
  <si>
    <t>МИП</t>
  </si>
  <si>
    <t>Министерство информационной политики</t>
  </si>
  <si>
    <t>МинКульт</t>
  </si>
  <si>
    <t>Министерство культуры</t>
  </si>
  <si>
    <t>МИЛХ</t>
  </si>
  <si>
    <t>Министерство лесного хозяйства</t>
  </si>
  <si>
    <t>ММП</t>
  </si>
  <si>
    <t>Министерство молодежной политики</t>
  </si>
  <si>
    <t>МинОбр</t>
  </si>
  <si>
    <t>Министерство образования</t>
  </si>
  <si>
    <t>МПРиЭ</t>
  </si>
  <si>
    <t>Министерство природных ресурсов и экологии</t>
  </si>
  <si>
    <t>МПИН</t>
  </si>
  <si>
    <t>Министерство промышленности, инвестиций и науки</t>
  </si>
  <si>
    <t>МРБ</t>
  </si>
  <si>
    <t>Министерство региональной безопасности</t>
  </si>
  <si>
    <t>МСХ</t>
  </si>
  <si>
    <t>Министерство сельского хозяйства</t>
  </si>
  <si>
    <t>МСП</t>
  </si>
  <si>
    <t>Министерство социальной политики</t>
  </si>
  <si>
    <t>МинСтрой</t>
  </si>
  <si>
    <t>Министерство строительства и архитектуры</t>
  </si>
  <si>
    <t>МТиЦП</t>
  </si>
  <si>
    <t>Министерство торговли и ценовой политики</t>
  </si>
  <si>
    <t>МинТранс</t>
  </si>
  <si>
    <t>Министерство транспорта и дорожного хозяйства</t>
  </si>
  <si>
    <t>МФКС</t>
  </si>
  <si>
    <t>Министерство физической культуры и спорта</t>
  </si>
  <si>
    <t>МинФин</t>
  </si>
  <si>
    <t>Министерство финансов</t>
  </si>
  <si>
    <t>МинЦифры</t>
  </si>
  <si>
    <t>Министерство цифрового развития и искусственного интеллекта</t>
  </si>
  <si>
    <t>МЭР</t>
  </si>
  <si>
    <t>Министерство экономического развития</t>
  </si>
  <si>
    <t>МинЭнерго</t>
  </si>
  <si>
    <t xml:space="preserve">Министерство энергетики и тарифов </t>
  </si>
  <si>
    <t>УпрВет</t>
  </si>
  <si>
    <t>Управление ветеринарии</t>
  </si>
  <si>
    <t>УГСКС</t>
  </si>
  <si>
    <t>Управление гос. службой и кадровой работой</t>
  </si>
  <si>
    <t>УправДелами</t>
  </si>
  <si>
    <t>Управление делами</t>
  </si>
  <si>
    <t>УпрЗАГС</t>
  </si>
  <si>
    <t>Управление ЗАГС и архивов</t>
  </si>
  <si>
    <t>УпрООКН</t>
  </si>
  <si>
    <t>Управление по охране объектов культурного наследия</t>
  </si>
  <si>
    <t>ОхотНадзор</t>
  </si>
  <si>
    <t>Управление по охране, использованию объектов животного мира и водных биологических ресурсов</t>
  </si>
  <si>
    <t>РЕЕСТР ПРОЦЕССОВ</t>
  </si>
  <si>
    <t>Наименование органа власти</t>
  </si>
  <si>
    <t>Подразделение</t>
  </si>
  <si>
    <t>Дата составления</t>
  </si>
  <si>
    <t>*Обязательно к заполнению</t>
  </si>
  <si>
    <t>Министерство*</t>
  </si>
  <si>
    <t>Идентификатор процесса*</t>
  </si>
  <si>
    <t>Группа процессов</t>
  </si>
  <si>
    <t>Название процесса*</t>
  </si>
  <si>
    <t>Ответственный за процесс*</t>
  </si>
  <si>
    <t>Статус процесса (статус реинжиниринга)*</t>
  </si>
  <si>
    <t>Клиент*</t>
  </si>
  <si>
    <t>Данные на входе (вход процесса)*</t>
  </si>
  <si>
    <t>Результат на выходе*</t>
  </si>
  <si>
    <t>Вид процесса*</t>
  </si>
  <si>
    <t>Человеко/часы (на исполнение 1 экземпляра процесса)</t>
  </si>
  <si>
    <t>Количество экземпляров процесса в год</t>
  </si>
  <si>
    <t>Признак сквозного процесса*</t>
  </si>
  <si>
    <r>
      <rPr>
        <b/>
        <sz val="12"/>
        <color theme="0"/>
        <rFont val="Calibri"/>
        <family val="2"/>
        <charset val="204"/>
        <scheme val="minor"/>
      </rPr>
      <t xml:space="preserve">С кем сквозной 
</t>
    </r>
    <r>
      <rPr>
        <b/>
        <sz val="11"/>
        <color theme="0"/>
        <rFont val="Calibri"/>
        <family val="2"/>
        <charset val="204"/>
        <scheme val="minor"/>
      </rPr>
      <t>(заполняется, если в предыдущем столбе выбрано "сквозной")</t>
    </r>
  </si>
  <si>
    <t>Роль Министерства в сквозном потоке</t>
  </si>
  <si>
    <t>Тип процесса*</t>
  </si>
  <si>
    <t>Формат процесса*</t>
  </si>
  <si>
    <t>Машиночитаемость в процессе*</t>
  </si>
  <si>
    <t>Точка размещения в цифровом виде</t>
  </si>
  <si>
    <t>проходит реинжиниринг</t>
  </si>
  <si>
    <t>основной</t>
  </si>
  <si>
    <t>сквозной</t>
  </si>
  <si>
    <t>владелец</t>
  </si>
  <si>
    <t>бумажный</t>
  </si>
  <si>
    <t>частично цифровой</t>
  </si>
  <si>
    <t>немашиночитаемый</t>
  </si>
  <si>
    <t>в очереди на исследование</t>
  </si>
  <si>
    <t>безбумажный</t>
  </si>
  <si>
    <t>нецифровой</t>
  </si>
  <si>
    <t>Отчет</t>
  </si>
  <si>
    <t>Начальники отделов</t>
  </si>
  <si>
    <t>несквозной</t>
  </si>
  <si>
    <t>вспомогательный</t>
  </si>
  <si>
    <t>ВП.ЗАК.</t>
  </si>
  <si>
    <t>Мобилизационная работа</t>
  </si>
  <si>
    <t xml:space="preserve">основной </t>
  </si>
  <si>
    <t>Бухгалтерский учет</t>
  </si>
  <si>
    <t>машиночитаемый</t>
  </si>
  <si>
    <t>служащий министерства</t>
  </si>
  <si>
    <t>План-График мероприятий</t>
  </si>
  <si>
    <t>Наименование ОГВ'!A1</t>
  </si>
  <si>
    <t>юридические лица и индивидуальные предприниматели</t>
  </si>
  <si>
    <t xml:space="preserve">Основной </t>
  </si>
  <si>
    <t>Дело об административном правонарушении</t>
  </si>
  <si>
    <t>Первичная документация</t>
  </si>
  <si>
    <t>ИОГВ</t>
  </si>
  <si>
    <t>Делопроизводство</t>
  </si>
  <si>
    <t xml:space="preserve">Сводный отчет </t>
  </si>
  <si>
    <t>ОП.8. Организация и проведение мероприятий, конкурсов</t>
  </si>
  <si>
    <t>ОП.ОГ.</t>
  </si>
  <si>
    <t>ВП.14.4. Организация обучения и развития</t>
  </si>
  <si>
    <t>цифровой</t>
  </si>
  <si>
    <t>ВП.СУБС.ЮЛ.</t>
  </si>
  <si>
    <t>ВП.10.4. Предоставление субсидий юридическим лицам</t>
  </si>
  <si>
    <t>Министерство финансов Липецкой области</t>
  </si>
  <si>
    <t>Министерство экономического развития Липецкой области</t>
  </si>
  <si>
    <t>Юридические лица</t>
  </si>
  <si>
    <t>Протокол подведения итогов</t>
  </si>
  <si>
    <t>Физические лица</t>
  </si>
  <si>
    <t>В очереди на исследование</t>
  </si>
  <si>
    <t>МинЗдрав</t>
  </si>
  <si>
    <t>в очереди на реинжиниринг</t>
  </si>
  <si>
    <t>Правительство Липецкой области</t>
  </si>
  <si>
    <t>Подведомственные учреждения</t>
  </si>
  <si>
    <t>идет исследование</t>
  </si>
  <si>
    <t>прошел реинжиниринг</t>
  </si>
  <si>
    <t xml:space="preserve">управленческий </t>
  </si>
  <si>
    <t>СФР</t>
  </si>
  <si>
    <t>физические и юридические лица и индивидуальные предприниматели</t>
  </si>
  <si>
    <t>Управление финансов Липецкой области</t>
  </si>
  <si>
    <t>подведомственные учреждения</t>
  </si>
  <si>
    <t>Внесение сведений о границах в ЕГРН</t>
  </si>
  <si>
    <t>Юридические лица, физические лица</t>
  </si>
  <si>
    <t>Соглашение</t>
  </si>
  <si>
    <t>Росреестр</t>
  </si>
  <si>
    <t>Рассмотрение обращений и запросов</t>
  </si>
  <si>
    <t>Предоставление государственных социальных гарантий</t>
  </si>
  <si>
    <t>Заместитель министра</t>
  </si>
  <si>
    <t>Аналитический отчет</t>
  </si>
  <si>
    <t>Министерство лесного хозяйства Липецкой области</t>
  </si>
  <si>
    <t>МЛХ</t>
  </si>
  <si>
    <t>Охрана лесов от пожаров</t>
  </si>
  <si>
    <t>Начальник отдела мониторинга и прогнозирования пожарной опасности в лесах</t>
  </si>
  <si>
    <t>Липецкая область</t>
  </si>
  <si>
    <t>Статья 83 Лесного кодекса РФ, Положение о министрестве</t>
  </si>
  <si>
    <t>Отсутствие пожаров на территории лесного фонда</t>
  </si>
  <si>
    <t>ОКУ "Лесничества", ГАУ "Лесхозы", ОСАУ "Лесопожарный центр", лесопользователи</t>
  </si>
  <si>
    <t>Подведомственные учреждения, юридические и физические лица, лица использующие леса</t>
  </si>
  <si>
    <t xml:space="preserve">Предупреждение лесных пожаров (противопожарное обустройство лесов, приобретение и содержание средств предупреждения и тушения лесных пожаров, противопожарную пропаганду и обучение населения мерам пожарной безопасности в лесах)
</t>
  </si>
  <si>
    <t>Использование лесов юридическими и физическими лицами,контроль за использованием земельных участков, граничащих с землями лесного фонда.</t>
  </si>
  <si>
    <t>Обустройство лесов средствами предупреждения и тушения лесных пожаров</t>
  </si>
  <si>
    <t xml:space="preserve">Мониторинг пожарной опасности в лесах и лесных пожаров (наблюдение и контроль за пожарной опасностью в лесах и лесными пожарами; организацию системы обнаружения и учета лесных пожаров, системы наблюдения за их развитием с использованием наземных, авиационных или космических средств; организацию патрулирования лесов; прием и учет сообщений о лесных пожарах, а также оповещение населения и противопожарных служб о пожарной опасности в лесах и лесных пожарах специализированными диспетчерскими службами)
</t>
  </si>
  <si>
    <t>Государственное задание, проект освоения лесов, введение особого противопожарного режима</t>
  </si>
  <si>
    <t>Отсутствие пожаров на территории лесного фонда, информирование населения о соблюдении особого противопожарного режима</t>
  </si>
  <si>
    <t xml:space="preserve">Разработка и утверждение планов тушения лесных пожаров по лесничесвам
</t>
  </si>
  <si>
    <t>Сотрудники отдела мониторинга и прогнозирования пожарной опасности в лесах</t>
  </si>
  <si>
    <t>проект "План тушения лесных пожаров по лесничествам"</t>
  </si>
  <si>
    <t>согласованный "План тушения лесных пожаров по лесничествам"</t>
  </si>
  <si>
    <t>ОКУ "Лесничества",  администрация муниципального района (округа),  пожарная служба, лесопользователи, сельхозпроизводители</t>
  </si>
  <si>
    <t>Разработка и утверждение планов тушения лесных пожаров. Разработка проекта "Сводного плана тушения лесных пожаров на территории Липецкой области"</t>
  </si>
  <si>
    <t xml:space="preserve">Сотрудники отдела мониторинга и прогнозирования пожарной опасности в лесах </t>
  </si>
  <si>
    <t>Проекты "Сводного плана тушения лесных пожаров на территории Липецкой области"</t>
  </si>
  <si>
    <t>утверждение  "Сводного плана тушения лесных пожаров на территории Липецкой области"</t>
  </si>
  <si>
    <t>Правительство Липецкой области, Департамент лесного хозяйства по ЦФО, Рослесхоз</t>
  </si>
  <si>
    <t>ФГИС ЛК</t>
  </si>
  <si>
    <t xml:space="preserve">Контроль за соблюдением иных мер пожарной безопасности в лесах (ограничения пребывания граждан в лесах в целях обеспечения пожарной безопасности в лесах и т.п.)
</t>
  </si>
  <si>
    <t>Граждане пребывающие в лесах</t>
  </si>
  <si>
    <t>Введение особого противопожарного режима в лесах, высокий класс пожарной опасности в лесах</t>
  </si>
  <si>
    <t>Ведение граничения пребывания  граждан в лесах</t>
  </si>
  <si>
    <t>Организация тушения лесных пожаров</t>
  </si>
  <si>
    <t>Сообщение диспетчера ОСАУ "Лесопожарный центр" о термоточке, либо  возгорании. Сообщение от иных лиц.</t>
  </si>
  <si>
    <t>Проверка обращение (выезд на местность). Организация тушения в соотвествии со Сводным планом тушения пожаров на территории области.</t>
  </si>
  <si>
    <t>ОКУ "Лесничества", ОСАУ "Лесопожарный центр"</t>
  </si>
  <si>
    <t>Осуществление защиты леса</t>
  </si>
  <si>
    <t>Консультант отдела лесного хозяйства</t>
  </si>
  <si>
    <t xml:space="preserve">Липецкая область </t>
  </si>
  <si>
    <t xml:space="preserve">Улушение состояния лесных насаждений </t>
  </si>
  <si>
    <t>ФБУ "РОСЛЕСОЗАЩИТА", Департамент лесного хозяйства по ЦФО, Рослесхоз</t>
  </si>
  <si>
    <t>Обеспечение санитарной безопасности в лесах</t>
  </si>
  <si>
    <t>Уменьшение пожароопасной ситуации и повышение привлекательности лесов</t>
  </si>
  <si>
    <t>ОКУ "Лесничества", лесопользователи</t>
  </si>
  <si>
    <t>Лесопатологическое обследование</t>
  </si>
  <si>
    <t>Акт лесопатологического обследования</t>
  </si>
  <si>
    <t>исполнитель работ по государствееному контракту на проведение лесопатологического обследования, ФБУ "РОСЛЕСОЗАЩИТА", Департамент лесного хозяйства по ЦФО, Рослесхоз</t>
  </si>
  <si>
    <t>Предупреждение распространения вредных организмов</t>
  </si>
  <si>
    <t>Профилактические мероприятияи СОМ</t>
  </si>
  <si>
    <t>Иные мероприятия по защите леса (агитационные мероприятия и рубка аварийных деревьев)</t>
  </si>
  <si>
    <t>Радиационное обсследование лесов</t>
  </si>
  <si>
    <t>ФБУ "РОСЛЕСОЗАЩИТА", ОКУ "Лесничества"</t>
  </si>
  <si>
    <t>Ликвидация очагов вредных организмов</t>
  </si>
  <si>
    <t>Уменьшение площади погибших и расстроенных насаждений на территории области</t>
  </si>
  <si>
    <t>Надзор за своевременным назначением, проведением и эффективностью выполнения санитарно-оздоровительных мероприятий в насаждениях, подвергшихся негативному воздействию лесных и торфяных пожаров</t>
  </si>
  <si>
    <t>Департамент лесного хозяйства по ЦФО</t>
  </si>
  <si>
    <t>Данные от подведомственных ИОГВ автономных учреждений</t>
  </si>
  <si>
    <t>ОКУ "Лесничества", Рослесхоз</t>
  </si>
  <si>
    <t xml:space="preserve">Подготовка оперативной отчетности по защите леса: Опер-ЛПО, опер-СОМ и опер-ЛОВО </t>
  </si>
  <si>
    <t>Департамент лесного хозяйства по ЦФО, ФБУ "Рослесозащита"</t>
  </si>
  <si>
    <t>Данные от подведомственных ИОГВ автономных учреждений, лиц использующих леса</t>
  </si>
  <si>
    <t>Информация о выполнении календарного плана мероприятий по защите лесов на территории Липецкой области</t>
  </si>
  <si>
    <t>Оперативная информация о поврежденных и погибших насаждениях, а также о выявленных очагах</t>
  </si>
  <si>
    <t>ФБУ "Рослесозащита"</t>
  </si>
  <si>
    <t>Реестры государственного лесопатологического мониторинга</t>
  </si>
  <si>
    <t>ФБУ "РОСЛЕСОЗАЩИТА", Департамент лесного хозяйства по ЦФО,  ОКУ "Лесничества"</t>
  </si>
  <si>
    <t>Оперативная отчетность о выполнении радиационных обследований</t>
  </si>
  <si>
    <t>Рослесхоз</t>
  </si>
  <si>
    <t>Данные ИОГВ</t>
  </si>
  <si>
    <t>Информация по актам лесопатологического обследования и актам обследования аварийных деревьев</t>
  </si>
  <si>
    <t>Информация о доведении объемов мероприятий в рамках государственных заданий и (или) государственных контрактов по защите лесов</t>
  </si>
  <si>
    <t>Заявка об исключении сведений из реестров государственного лесопатологического мониторинга</t>
  </si>
  <si>
    <t>Осуществление воспроизводства лесов и лесоразведения</t>
  </si>
  <si>
    <t>Ведущий консультант отдела лесного хозяйства</t>
  </si>
  <si>
    <t>Осуществоение воспроизводства лесов и лесоразведения в соответствии с лесным законодательством</t>
  </si>
  <si>
    <t>Рослесхоз, ФБУ "РОСЛЕСОЗАЩИТА", Департамент лесного хозяйства по ЦФО,  ОКУ "Лесничества"</t>
  </si>
  <si>
    <t>Осуществление лесного семеноводства</t>
  </si>
  <si>
    <t>Использование семян для выращивания посадочного материала</t>
  </si>
  <si>
    <t>Осуществление лесовосстановления</t>
  </si>
  <si>
    <t xml:space="preserve">Восстановления вырубленных, погибших, поврежденных лесов
</t>
  </si>
  <si>
    <t>Уход за лесами</t>
  </si>
  <si>
    <t>Заместитель начальника отдела лесного хозяйства</t>
  </si>
  <si>
    <t xml:space="preserve">Повышение продуктивности лесов, сохранение их полезных функций
</t>
  </si>
  <si>
    <t>Отнесение земель, предназначенных для лесовосстановления к лесам</t>
  </si>
  <si>
    <t>Увеличение покрытой лесом площади</t>
  </si>
  <si>
    <t>ОКУ "Лесничества", арендаторы лесных участков</t>
  </si>
  <si>
    <t>Осуществление лесоразведения</t>
  </si>
  <si>
    <t xml:space="preserve">Предотвращение эрозии почв и других связанных с повышением потенциала лесов целях
</t>
  </si>
  <si>
    <t>ОКУ "Лесничества", Администрация муниципального района (округа)</t>
  </si>
  <si>
    <t>Инвентаризации лесных культур, защитных лесных насаждений, питомников и ввод молодняков в категорию ценных древесных насаждений</t>
  </si>
  <si>
    <t>Данные от подведомственных ИОГВ учреждений</t>
  </si>
  <si>
    <t>Сводный отчет </t>
  </si>
  <si>
    <t>ОКУ "Лесничества", ГАУ "Лесхозы", Департамент лесного хозяйства по ЦФО</t>
  </si>
  <si>
    <t>Техническая приемка работ по лесовосстановлению и выращиванию посадочного материала</t>
  </si>
  <si>
    <t>Контроль за проведением мероприятий в рамках "компенсационного" лесовосстановления</t>
  </si>
  <si>
    <t>Данные от подведомственных ИОГВ учреждений, лиц использующих леса в рамках статей 43-45 Лесного кодекса РФ</t>
  </si>
  <si>
    <t>Лесные культуры, созданные в рамках "компенсационного" лесовосстановления</t>
  </si>
  <si>
    <t>Лица, использующие леса в соответствии со ст. 43,45 ЛК РФ, Департамент лесного хозяйства по ЦФО</t>
  </si>
  <si>
    <t>Контроль за отнесением земель, предназначенных для лесовосстановления, к землям, на которых расположены леса</t>
  </si>
  <si>
    <t>Акты  от подведомственных ИОГВ учреждений </t>
  </si>
  <si>
    <t>Сотрудничество со школьными лесничествами</t>
  </si>
  <si>
    <t>Сотрудники отдела лесного хозяйства</t>
  </si>
  <si>
    <t>ИОГВ, школьные лесничества Липецкой области</t>
  </si>
  <si>
    <t>Данные от школьных лесничеств Липецкой области, ГБУ ДО ЦДО"Экомир" ЛО</t>
  </si>
  <si>
    <t>Проведение мероприятий, конкурсов, выполнение отчетов о проделанной работе</t>
  </si>
  <si>
    <t>ОКУ "Лесничества", «ГБУ ДО ЦДО „ЭкоМир“ ЛО, Министерство образования Липецкой области</t>
  </si>
  <si>
    <t>Внесение сведений в государственный лесной реестр в части воспроизводства лесов и лесоразведения</t>
  </si>
  <si>
    <t>Сбор информация о доведении объемов мероприятий в рамках государственных заданий и (или) государственных контрактов по воспроизводству лесов</t>
  </si>
  <si>
    <t>ОКУ "Лесничества", ГАУ "Лесхозы"</t>
  </si>
  <si>
    <t>Сбор информация о землях иных категорий, за исключением земель лесного фонда, находящихся в государственной или муниципальной собственности, предназначенных для лесовосстановления или лесоразведения </t>
  </si>
  <si>
    <t xml:space="preserve">Отчет </t>
  </si>
  <si>
    <t>Информация о выполнении календарного плана мероприятий по воспроизводству лесов на территории Липецкой области</t>
  </si>
  <si>
    <t>Данные от подведомственных ИОГВ  учреждений, лиц использующих леса</t>
  </si>
  <si>
    <t>ОКУ "Лесничества", ГАУ "Лесхозы", ОСАУ "Лесопожарный центр"</t>
  </si>
  <si>
    <t>Использование лесов</t>
  </si>
  <si>
    <t>Начальник лесного отдела, начальник отдела ГЛР и ЦТ</t>
  </si>
  <si>
    <t>Осуществоение использования лесов в соответствии с лесным законодательством</t>
  </si>
  <si>
    <t>Разработка лесного плана Липецкой области и внесение изменений в него</t>
  </si>
  <si>
    <t>Заместитель начальника отдела ГЛР и ЦТ</t>
  </si>
  <si>
    <t>Истечение срока действия лесного плана, статья 86 ЛК РФ</t>
  </si>
  <si>
    <t>Утверждение лесного плана Липецкой области</t>
  </si>
  <si>
    <t>Министерство цифрового развития и искусственного интеллекта Липецкой области, Правовое управление Правительства Липецкой области, Правительство Липецкой области</t>
  </si>
  <si>
    <t>Разработка лесохозяйственных регламентов лесничеств и внесение изменений в них</t>
  </si>
  <si>
    <t xml:space="preserve">Лесничества </t>
  </si>
  <si>
    <t>Истечение срока действия лесохозяйственных регламентов лесничеств, статья 87 ЛК РФ</t>
  </si>
  <si>
    <t xml:space="preserve">Утверждение лесохозяйственных регламентов лесничеств </t>
  </si>
  <si>
    <t>ОКУ "Лесничества", Министерство цифрового развития и искусственного интеллекта Липецкой области, Правовое управление Правительства Липецкой области, Правительство Липецкой области</t>
  </si>
  <si>
    <t>Организация и проведение аукциона на право заключения договора купли-продажи лесных насаждений</t>
  </si>
  <si>
    <t>Консультант отдела ГЛР и ЦТ</t>
  </si>
  <si>
    <t>юридические лица, индивидуальные предприниматели</t>
  </si>
  <si>
    <t>Заключение договора</t>
  </si>
  <si>
    <t>Формирование лесных участков на землях лесного фонда</t>
  </si>
  <si>
    <t>Сотрудники отдела ГЛР и ЦТ</t>
  </si>
  <si>
    <t>заявление на формирование ЛУ</t>
  </si>
  <si>
    <t>Заключение контракта на проектирование ЛУ</t>
  </si>
  <si>
    <t>заявитель, ОКУ "Лесничества", Рослесинфорг</t>
  </si>
  <si>
    <t>Утверждение проектной документации лесного участка</t>
  </si>
  <si>
    <t>заявление на утверждение проектной документации ЛУ</t>
  </si>
  <si>
    <t>Решение об утверждении проектной документации/решение об отказе в утверждении</t>
  </si>
  <si>
    <t>заявитель, ОКУ "Лесничества"</t>
  </si>
  <si>
    <t>Постановка на кадастровый учет лесного участка</t>
  </si>
  <si>
    <t>межевой план</t>
  </si>
  <si>
    <t>Воронежлеспроект</t>
  </si>
  <si>
    <t>Личный кабинет Росреестра</t>
  </si>
  <si>
    <t xml:space="preserve">Проверка материалов отвода лесосек </t>
  </si>
  <si>
    <t>Сотрудники отдела ГЛР и ЦТ, отдела лесного хозяйства</t>
  </si>
  <si>
    <t>Сформированный лот</t>
  </si>
  <si>
    <t>ОКУ "Лесничества"</t>
  </si>
  <si>
    <t>Прием и проверка таксационных описания лесосек</t>
  </si>
  <si>
    <t>подведомственные учреждения,  юридические лица и индивидуальные предприниматели</t>
  </si>
  <si>
    <t>Прием таксационных описаний</t>
  </si>
  <si>
    <t>Согласование генеральных планов, документов территориального планирования (проектов планировки и проектов межевания территории)</t>
  </si>
  <si>
    <t>Министерство строительства и архитектуры Липецкой области</t>
  </si>
  <si>
    <t>Проект генерального плана, СТП, межевания территории</t>
  </si>
  <si>
    <t>Согласование/ отклонение</t>
  </si>
  <si>
    <t>ОБУ "Управление градостроительства Липецкой области", разработчик генерального плана, администрации сельских поселений, ОКУ "Лесничества"</t>
  </si>
  <si>
    <t>Проверка соответствия земельного участка требованиям лесной амнистии</t>
  </si>
  <si>
    <t>Главный консультант отдела ГЛР и ЦТ</t>
  </si>
  <si>
    <t>обращение/заявление</t>
  </si>
  <si>
    <t>решение об исключении сведений о пересечении с ЗУ/направление материалов на судебную защиту</t>
  </si>
  <si>
    <t>Департамент лесного хозяйства по ЦФО, Воронежлеспроект</t>
  </si>
  <si>
    <t>Внесение в государственный лесной реестр сведений и размещение документов</t>
  </si>
  <si>
    <t>Заместитель начальника отдела ГЛР и ЦТ, отвественные сотрудники подведомственных учреждений</t>
  </si>
  <si>
    <t>Лесопользователь</t>
  </si>
  <si>
    <t>Реестровая запись в ГЛР/отказ во внесении</t>
  </si>
  <si>
    <t>Доведение государственных заданий по охране, защите, воспроизводству лесов и лесоразведению</t>
  </si>
  <si>
    <t>Первый заместитель министра</t>
  </si>
  <si>
    <t>Данные от подведомственных ОГВ автономных учреждений</t>
  </si>
  <si>
    <t>Приказ о доведении государственных заданий</t>
  </si>
  <si>
    <t>Формирование государственных заданий для подведомственных учреждений (формы государственных заданий)</t>
  </si>
  <si>
    <t>Начальники отделов, подведомственные учреждения</t>
  </si>
  <si>
    <t>Расчет базовых нормативов затрат на выполнение работ по ОЗВЛ</t>
  </si>
  <si>
    <t>Заместитель начальника отдела финансирования и администрирования платежей за пользование лесом</t>
  </si>
  <si>
    <t>Сводные ведомости рубок и фактические условия выполнения работ</t>
  </si>
  <si>
    <t>Базовый норматив затрат</t>
  </si>
  <si>
    <t>Расчет нормативов затрат для доведения государственных заданий</t>
  </si>
  <si>
    <t>Базовые нормативы затрат и объемы выполняемых работ</t>
  </si>
  <si>
    <t>Приказ об утверждении нормативов затрат</t>
  </si>
  <si>
    <t>Расчет финансового обеспечения выполнения государственного задания</t>
  </si>
  <si>
    <t>Базовые нормативы затрат и объемы выполняемых работ согласно календарных планов</t>
  </si>
  <si>
    <t xml:space="preserve">Приказ об утвержденнии финансовое обеспечение выполнения государственного задания </t>
  </si>
  <si>
    <t xml:space="preserve">Заключение соглашений </t>
  </si>
  <si>
    <t>Информация об объемах финансирования государственных заданий</t>
  </si>
  <si>
    <t>ГАУ "Лесхозы"</t>
  </si>
  <si>
    <t>Проверка актов выполненных работ</t>
  </si>
  <si>
    <t>Пакет документов от подведомственных автономных и казенных учреждений</t>
  </si>
  <si>
    <t>Подписанный акт выполненных работ</t>
  </si>
  <si>
    <t xml:space="preserve"> ГАУ "Лесхозы", ОСАУ "Лесопожарный центр"</t>
  </si>
  <si>
    <t>Проверка актов приемки выполненных работ</t>
  </si>
  <si>
    <t>Сотрудники отдела лесного хозяйства, отдела мониторинга и прогнозирования пожарной опасности в лесах</t>
  </si>
  <si>
    <t>Подписанный акт приемки работ</t>
  </si>
  <si>
    <t>Проверка годовых отчетов о выполнении государственного задания</t>
  </si>
  <si>
    <t>Отчет о выполнении государственного задания автономным учреждением</t>
  </si>
  <si>
    <t>Отчет о выполнении государственного задания</t>
  </si>
  <si>
    <t>Проверка отчетов об использовании субсидий выделенных на выполнение государственного задания</t>
  </si>
  <si>
    <t>Отчет об использовании субсидийавтономным учреждением</t>
  </si>
  <si>
    <t>Предоставление информации об объёмах средств, предоставленных из федерального бюджета в форме субвенций, имеющих целевое значение, и об объёмах их освоения</t>
  </si>
  <si>
    <t>Главный консультант  отдела финансирования и администрирования платежей за пользование лесом</t>
  </si>
  <si>
    <t>УФК по Липецкой области</t>
  </si>
  <si>
    <t>Веб-бюджет  (Справка по исполнению лимитов по корреспондентам)</t>
  </si>
  <si>
    <t>УФК по Липецкой области, ОКУ "Лесничества", ГАУ "Лесхозы", ОСАУ "Лесопожарный центр"</t>
  </si>
  <si>
    <t>Проверка предварительных отчетов о выполнении государственного задания</t>
  </si>
  <si>
    <t>Предварительный Отчет о выполнении государственного задания автономным учреждением</t>
  </si>
  <si>
    <t xml:space="preserve">Проверка Аналитических отчетов </t>
  </si>
  <si>
    <t>Ведение планов финансово-хозяйственной деятельности</t>
  </si>
  <si>
    <t>Сотрудники отдела финансирования и администрирования платежей за пользование лесом</t>
  </si>
  <si>
    <t>ПФХД</t>
  </si>
  <si>
    <t>ПФХД утвержден и размещен на bus,gov</t>
  </si>
  <si>
    <t>Федеральный государственный лесной контроль(надзор)</t>
  </si>
  <si>
    <t>Начальник отдела федерального государственного лесного контроля и лесной охраны</t>
  </si>
  <si>
    <t>Статья 83 Лесного кодекса РФ, Положение о министрестве, Постановление Правительства РФ о Федеральном государственном лесном контроле (надзоре)</t>
  </si>
  <si>
    <t>Соблюдение требований лесного законодательства лиц, использующие леса</t>
  </si>
  <si>
    <t>ОКУ "Лесничества", лесопользователи,Липецкая межрайонная прироохранная прокуратура</t>
  </si>
  <si>
    <t>Подготовка материалов для проведения контрольных надзорных мероприятий в соответствии с 248 ФЗ</t>
  </si>
  <si>
    <t>Сотрудники отдела федерального государственного лесного контроля и лесной охраны</t>
  </si>
  <si>
    <t>Обращение/жалоба</t>
  </si>
  <si>
    <t>Проведение КНМ, составление Акта о проведении КНМ</t>
  </si>
  <si>
    <t>Составление протоколов об административном правонарушении</t>
  </si>
  <si>
    <t>Юридические, физические лица, ИП</t>
  </si>
  <si>
    <t>Выявление административного правонарушения</t>
  </si>
  <si>
    <t>Заключение на материал административного дела</t>
  </si>
  <si>
    <t>Участие в проведение семинаров-обучений государственных лесных инспекторов</t>
  </si>
  <si>
    <t>ГЛИ</t>
  </si>
  <si>
    <t>Изменения действующего законодательства</t>
  </si>
  <si>
    <t>Протокол проведения обучения</t>
  </si>
  <si>
    <t>Учет материалов административных дел</t>
  </si>
  <si>
    <t>Экспертиза материалов дела об административном правонарушении</t>
  </si>
  <si>
    <t>Заместитель начальника отдела отдела федерального государственного лесного контроля и лесной охраны</t>
  </si>
  <si>
    <t>Поступление материала административного дела</t>
  </si>
  <si>
    <t>Вынесение постановлений о привлечении к административной ответственности</t>
  </si>
  <si>
    <t>Начальник отдела отдела федерального государственного лесного контроля и лесной охраны</t>
  </si>
  <si>
    <t>Протокол об административном правонарушении</t>
  </si>
  <si>
    <t>Подписание постановления</t>
  </si>
  <si>
    <t>Координация работы в рамках межведомственной рабочей группы (МЧС, УМВД, Прокуратура)</t>
  </si>
  <si>
    <t>Начальник отдела, заместитель начальника отделао федерального государственного лесного контроля и лесной охраны</t>
  </si>
  <si>
    <t>МЧС, УМВД, Прокуратура</t>
  </si>
  <si>
    <t>Наступление пожароопасного периода</t>
  </si>
  <si>
    <t>Протокол об административном правонарушении по ст. 8.32 КоАП РФ</t>
  </si>
  <si>
    <t>Липецкая межрайонная природоохранная прокуратура ЛО, МЧС, УМВД</t>
  </si>
  <si>
    <t>Координация деятельности ОКУ "Лесничества" в рамках проведения ФГЛК и ЛО</t>
  </si>
  <si>
    <t>Проведение ФГЛК и ЛО (составление Акта о проведении КНМ, составление Акта о проведении патрулирования)</t>
  </si>
  <si>
    <t>Разработка перечня должностных лиц, осуществляющий федеральный государственный лесной контроль (надзор) на территории липецкой области</t>
  </si>
  <si>
    <t>ГИЛ</t>
  </si>
  <si>
    <t>Постановление Правительства Липецкой области, приказ министерства</t>
  </si>
  <si>
    <t>Лесная охрана</t>
  </si>
  <si>
    <t>Патрулирование ГЛФ</t>
  </si>
  <si>
    <t>ОЛИ</t>
  </si>
  <si>
    <t>Задание на осуществление патрулирования</t>
  </si>
  <si>
    <t>Проведение патрулирования, составление Акта о результатах патрулирования</t>
  </si>
  <si>
    <t>Координация работы с общественными лесными инспекторами</t>
  </si>
  <si>
    <t>Консультант отдела федерального государственного лесного контроля и лесной охраны</t>
  </si>
  <si>
    <t>Поступление заявления на вступление в ОЛИ</t>
  </si>
  <si>
    <t>Учет ОЛИ</t>
  </si>
  <si>
    <t>ОКУ "Лесничества", общественные лесные инспекторы</t>
  </si>
  <si>
    <t xml:space="preserve">Ревизия состояния лесов </t>
  </si>
  <si>
    <t>Приказ МПР № 955</t>
  </si>
  <si>
    <t>Проведение ревизии, составление Акта</t>
  </si>
  <si>
    <t>Контроль исполнения государственных заданий</t>
  </si>
  <si>
    <t>сотрудники министерства</t>
  </si>
  <si>
    <t>Документы от подведомственных учреждений</t>
  </si>
  <si>
    <t>ОП.1.2. Основные процессы ОГВ</t>
  </si>
  <si>
    <t>Администрирование платежей за пользование лесом</t>
  </si>
  <si>
    <t>Сотрудники отдела финансирования и администрирования платежей за пользование лесом, отдела государственного контроля и охраны леса</t>
  </si>
  <si>
    <t>Рослесхоз, Бюджет субъекта</t>
  </si>
  <si>
    <t>Договоры аренды лесных участков, договоры купли-продажи лесных насаждений, договоры купли продажи лесных насаждений для собственных нужд</t>
  </si>
  <si>
    <t>Платежное поручение  в СУФД</t>
  </si>
  <si>
    <t>Лесопользователи, ГАУ "Лесхозы", ОСАУ "Лесопожарный центр"</t>
  </si>
  <si>
    <t>Расчет платы начальной цены предмета аукциона по продаже права на заключение договоров купли-продажи лесных насаждений с субъектами малого и среднего предпринимательства</t>
  </si>
  <si>
    <t>Ведущий консультант   отдела финансирования и администрирования платежей за пользование лесом</t>
  </si>
  <si>
    <t>Юридические лица, ИП</t>
  </si>
  <si>
    <t>Договоры купли-продажи лесных насаждений</t>
  </si>
  <si>
    <t>Расчет коэффициента для определения расходов на обеспечение мероприятий по охране, защите и воспроизводству лесов в 2025 году (Приложение)</t>
  </si>
  <si>
    <t>Начисление, учет и контроль, за правильностью исчисления, полнотой и своевременностью осуществления платежей в бюджеты всех уровней бюджетной системы Российской Федерации по установленным договорами срокам и размерам, пеней и штрафов по ним</t>
  </si>
  <si>
    <t>Юридические лица, физические лица, ИП</t>
  </si>
  <si>
    <t>Программный продукт «1С: Предприятие 8. Администрирование платежей»</t>
  </si>
  <si>
    <t>Направление  уведомлений о нарушении сроков внесения платы и неполном расчете с бюджетом со дня установления факта несвоевременной или неполной уплаты платежей в бюджеты бюджетной системы Российской Федерации. Расчет пеней и направление уведомлений на внесение в бюджет неустоек за нарушение условий договоров</t>
  </si>
  <si>
    <t>Программный продукт «1С: Предприятие 8. Администрирование платежей»
Уведомления лесопользователям</t>
  </si>
  <si>
    <t>Лесопользователи</t>
  </si>
  <si>
    <t>Досудебная претензионная  работа по взиманию задолженностей и неустоек за нарушение условий договоров по использованию лесов в бюджетную систему Российской Федерации</t>
  </si>
  <si>
    <t>Программный продукт «1С: Предприятие 8. Администрирование платежей»
Претензии лесопользователям</t>
  </si>
  <si>
    <t>Принудительное взыскание с плательщика платежей в бюджет, пеней и штрафов по ним через судебные органы или через судебных приставов</t>
  </si>
  <si>
    <t>Программный продукт «1С: Предприятие 8. Администрирование платежей»
Расчет задолженности и пени
Претензии, уведомления лесопользователям
Копия договора аренды лесных участков, копия договора купли-продажи лесных насаждений</t>
  </si>
  <si>
    <t>Судебный приказ
Постановление о возбуждении исполнительного производства
Платежное поручение в СУФД</t>
  </si>
  <si>
    <t>Судебные органы, приставы</t>
  </si>
  <si>
    <t>Пересчет арендной платы по договору аренды лесного участка (при изменении устанавливаемых Правительством Российской Федерации ставок платы за единицу объема лесных ресурсов или единицу площади лесного участка, а также изменения или введения коэффициентов в расчете) пропорционально изменению ставок платы</t>
  </si>
  <si>
    <t>Программный продукт «1С: Предприятие 8. Администрирование платежей»
Уведомление лесопользователям</t>
  </si>
  <si>
    <t>Направление уведомлений об изменении арендной платы и расчеты арендной платы в адрес арендатора</t>
  </si>
  <si>
    <t>Подготовка материалов, необходимых для принятия решений о признании безнадежной к взысканию задолженности по платежам в бюджеты бюджетной системы Российской Федерации</t>
  </si>
  <si>
    <t>Ведущий консультант отдела финансирования и администрирования платежей за пользование лесом, консультант  отдела федерального государственного лесного контроля и лесной охраны</t>
  </si>
  <si>
    <t>Порядок принятия решений о признании безнадежной к взысканию задолженности по платежам в федеральный бюджет</t>
  </si>
  <si>
    <t xml:space="preserve">Протокол </t>
  </si>
  <si>
    <t>Рослесхоз, судебные органы</t>
  </si>
  <si>
    <t>Исковая, претензионная работа</t>
  </si>
  <si>
    <t>Начальник отдела государственного лесного контроля и лесной охраны</t>
  </si>
  <si>
    <t>Нарушение установленных законом сроков</t>
  </si>
  <si>
    <t>Взыскание задолжности</t>
  </si>
  <si>
    <t>Правовое управление Правительства ЛО, судебные органы, приставы</t>
  </si>
  <si>
    <t>Согласование и утверждение документов  на добавление кодов доходов областного бюджета на текущий финансовый год</t>
  </si>
  <si>
    <t>Главный консультант отдела финансирования и администрирования платежей за пользование лесом</t>
  </si>
  <si>
    <t>ИОГВ (МФ ЛО, УФК по ЛО)</t>
  </si>
  <si>
    <t>Данные Правительства Липецкой области (постановление), данные ФАЛХ (приказ)</t>
  </si>
  <si>
    <t>Постановление Правительства Липецкой области</t>
  </si>
  <si>
    <t>Министерство финансов Липецкой обасти, УФК по Липецкой области</t>
  </si>
  <si>
    <t>Подготовка приказа о наделении полномочиями администратора доходов областного бюджета на текущий финансовый год</t>
  </si>
  <si>
    <t>ИОГВ (МФ ЛО)</t>
  </si>
  <si>
    <t>Данные Правительства Липецкой области (постановление)</t>
  </si>
  <si>
    <t>Приказ МЛХ ЛО, Реестр администрируемых доходов в УФК по ЛО</t>
  </si>
  <si>
    <t>Министерство финансов Липецкой обасти</t>
  </si>
  <si>
    <t>Мониторинг поступления платежей в доходы МЛХ ЛО</t>
  </si>
  <si>
    <t>ИОГВ (МЛХ ЛО)</t>
  </si>
  <si>
    <t>Выписки по лицевым счетам федерального и областного бюджета (с платежными поручениями и иными документами по оплате (поручение о перечислении на счет, уведомления на уточнение платежа, запрос на выяснение принадлежности платежа и др.))</t>
  </si>
  <si>
    <t>Обработка платежей - уточнение платежей, отражение в учете в специализированных программах (СУФД, РИС ГМП, 1С Бухгалтерия)</t>
  </si>
  <si>
    <t>СУФД, РИС ГМП, 1С Бухгалтерия</t>
  </si>
  <si>
    <t>Предоставление сведений о дебиторской и кредиторской задолженности по администрируемым доходам</t>
  </si>
  <si>
    <t>Ведущий консультант отдела финансирования и администрирования платежей за пользование лесом</t>
  </si>
  <si>
    <t>Таблица в формате Excel</t>
  </si>
  <si>
    <t>1С: Предприятие 8. Администрирование платежей</t>
  </si>
  <si>
    <t>Предоставление сведений об объеме и структуре дебиторской задолженности (ДЗ) по доходам главных администраторов доходов федерального бюджета (ФБ)</t>
  </si>
  <si>
    <t>Сотрудники отдела финансирования и администрирования платежей за пользование лесом, отдела федерального государственного лесного  контроля и лесной охраны</t>
  </si>
  <si>
    <t>ГРБС (ФАЛХ)</t>
  </si>
  <si>
    <t>Данные из 1С Бухгалтерия (отчет ф. 0503169-ДЗ и КЗ (будущие платежи) ФБ), данные других сотрудников по ДЗ</t>
  </si>
  <si>
    <t>Формирование журналов операций по доходам (№2, №5, №8) в бюджеты разных уровней (федеральный, областной, местный бюджеты)</t>
  </si>
  <si>
    <t xml:space="preserve">Главный консультант консультант отдела финансирования и администрирования платежей за пользование лесом
</t>
  </si>
  <si>
    <t>Первичные документы бухгалтерского учета (уведомления, ведомости, платежные поручения и др.)</t>
  </si>
  <si>
    <t>Журналы операций ФБ, ОБ, МБ ежемесячные (№2, 5, 8)</t>
  </si>
  <si>
    <t>Квитирование платежей в региональной информацтионной системе государственных и муниципальных платежей (РИС ГМП)</t>
  </si>
  <si>
    <t>Главный консультант консультант отдела финансирования и администрирования платежей за пользование лесом</t>
  </si>
  <si>
    <t>УФК по ЛО, физические и юридические лица</t>
  </si>
  <si>
    <t>Первичные документы для начисления и оплаты платежей</t>
  </si>
  <si>
    <t>Сквитированы платежи, поступающие в МЛХ ЛО, для дальнейшего формирвоания рейтинга среди ИОГВ, субъектов РФ в разрезе КБК доходов</t>
  </si>
  <si>
    <t>Взыскание задолжности по штрафам об административном правонарушении, претензионная работа</t>
  </si>
  <si>
    <t>Истечение установленного законом срока уплаты административного штрафа</t>
  </si>
  <si>
    <t>Протокол об административном правонарушении по ст. 20.25 КоАП РФ, постановление о назначении наказания по делу об административном правонарушении</t>
  </si>
  <si>
    <t xml:space="preserve">Защита бюджетных проектировок </t>
  </si>
  <si>
    <t>Первый заместитель министра, заместитель министра,  начальники отделов</t>
  </si>
  <si>
    <t>Данные отделов ИОГВ</t>
  </si>
  <si>
    <t>ротокол заседания Комиссии Рослесхоза по бюджетным проектировкам расходов федерального бюджета на очередной финансовый год</t>
  </si>
  <si>
    <t>Рослесхоз, Департамент лесного хозяйства по ЦФО, ОКУ "Лесничества"</t>
  </si>
  <si>
    <t>Защита бюджетных проектировок расходов федерального бюджета, осуществляемых за счет средств субвенций</t>
  </si>
  <si>
    <t>Сотрудники  отделов финансирования и администрирования платежей и лесного хозяйста</t>
  </si>
  <si>
    <t>Протокол заседания Комиссии Рослесхоза по бюджетным проектировкам расходов федерального бюджета на очередной финансовый год</t>
  </si>
  <si>
    <t>ИАС УБП Рослесхоз</t>
  </si>
  <si>
    <t>Деятельность по реализации Государственных программ</t>
  </si>
  <si>
    <t>Заместитель начальника отдела, главный консультант отдела финансирования и администрирования платежей за пользование лесом</t>
  </si>
  <si>
    <t>ОГВ</t>
  </si>
  <si>
    <t>Проект федеральной государственной программы; Проект федерального проекта "Сохранение лесов", проект федерального и областного бюджетов</t>
  </si>
  <si>
    <t>Выполнение государственной программы</t>
  </si>
  <si>
    <t>Внесение изменений в Паспорт государственной программы</t>
  </si>
  <si>
    <t>Постановления о внесении изменений в Постановление об утверждении государственной программы</t>
  </si>
  <si>
    <t>Рослесхоз, Департамент лесного хозяйства по ЦФО, Правовое управление Правительства Липецкой области</t>
  </si>
  <si>
    <t>ГИИС "Электронный бюджет"</t>
  </si>
  <si>
    <t>Предоставление отчетности по исполнению государственной программы</t>
  </si>
  <si>
    <t>Отчет  об исполнении государственной программы</t>
  </si>
  <si>
    <t>Рослесхоз, ОКУ "Лесничества", ГАУ "Лесхозы"</t>
  </si>
  <si>
    <t>Мониторинг контрольных точек  плана реализации государственной программы</t>
  </si>
  <si>
    <t>Данные отделов ИОГВ и подведомственных учреждений</t>
  </si>
  <si>
    <t>Справка об исполнении контрольных точек</t>
  </si>
  <si>
    <t>ИАС Липецкой области</t>
  </si>
  <si>
    <t xml:space="preserve">Формирование и утверждение паспорта регионального проекта "Сохранение лесов", совместное формирование и утверждение паспорта регионального проекта "Стимулирование спроса на отечественные БАС" с исполнителем проекта, Министерством промышленности, инвестиций и науки Липецкой области, в ГИИС "Электронный бюджет" </t>
  </si>
  <si>
    <t>Соглашения ФОИВ, данные отделов ИОГВ, сводная бюджетная роспись</t>
  </si>
  <si>
    <t>Паспорта региональных проектов GА, Ч6, Y4</t>
  </si>
  <si>
    <t>Министерство экономического развития Липецкой области, Рослесхоз</t>
  </si>
  <si>
    <t>Мониторинг контрольных точек  плана реализации региональных проектов ("Сохранение лесов", "Стимулирование спроса на отечественные БАС")</t>
  </si>
  <si>
    <t>Внесение данных в ИАС Правительства Липецкой области "Система оперативного мониторинга ключевых показателей социально-экономического развития Липецкой области", в ГИИС "Электронный бюджет"</t>
  </si>
  <si>
    <t>Министерство экономического развития Липецкой области, Рослесхоз, Минпром России</t>
  </si>
  <si>
    <t>Ведение ИАС участника бюджетного процесса мониторинга федерального проекта (ИАС УБП Мониторинг РП) о ходе реализации регионального проекта "Сохранение лесов"</t>
  </si>
  <si>
    <t>Главный консультант отдела финансирования и администрирования платежей за пользование лесом, сотрудники отдела лесного хозяйства</t>
  </si>
  <si>
    <t>Данные отделов ИОГВ и подведомственных учреждений, Веб-бюджет</t>
  </si>
  <si>
    <t>Заполнение форм (таблиц)</t>
  </si>
  <si>
    <t>(ИАС УБП Мониторинг РП</t>
  </si>
  <si>
    <t>Утверждение Паспортов КПМ государственной программы (в т.ч. Планов реализации)</t>
  </si>
  <si>
    <t xml:space="preserve"> Приказ о внесении изменений в Приказ об утверждении КПМ</t>
  </si>
  <si>
    <t xml:space="preserve">Внесение изменений в Паспорта КПМ </t>
  </si>
  <si>
    <t xml:space="preserve">Внесение изменений в Паспорт регионального Проекта "Сохранение лесов" </t>
  </si>
  <si>
    <t>Закон о бюджете, данные ПК "Веб-бюджет"</t>
  </si>
  <si>
    <t>Утвержден паспорт регпроекта в ГИИС "ЭБ"</t>
  </si>
  <si>
    <t>Рослесхоз, Министерство экономического развития Липецкой области</t>
  </si>
  <si>
    <t>Сбор информации - переписка с разными ведомствами и организациями в ходе и о ходе реализации региональных проектов ( "Сохранение лесов", "Стимулирование спроса на отечественные БАС")</t>
  </si>
  <si>
    <t>ФАЛХ, ДЛХ по ЦФО, МЭР ЛО, МФ, УФК по ЛО, Минпромторг РФ, АО "ГТЛК" и др.</t>
  </si>
  <si>
    <t>Входящие и исходящие письма ИОГВ, запрос/ответ по информации через официальные чаты в Телеграмм (ВПО/РПО, Сохранение лесов, Региональные проекты Липецкой области)</t>
  </si>
  <si>
    <t>Данные для реализации региональных проектов</t>
  </si>
  <si>
    <t xml:space="preserve">Рослесхоз, ДЛХ по ЦФО, Министерство экономического развития  ЛО, Министрество Финансов, УФК по ЛО, Минпромторг РФ, АО "ГТЛК" </t>
  </si>
  <si>
    <t>Исполнение запросов вышестоящих организаций и других ИОГВ о ходе реализации региональных проектов ( "Сохранение лесов", "Стимулирование спроса на отечественные БАС")</t>
  </si>
  <si>
    <t>ФАЛХ, ДЛХ по ЦФО, МФ ЛО, УФК по ЛО, МЭР ЛО, прокуратура ЛО и др.</t>
  </si>
  <si>
    <t>Входящие и исходящие письма ИОГВ</t>
  </si>
  <si>
    <t>Данные о ходе реализации региональных проектов</t>
  </si>
  <si>
    <t>Сдача отчетности по реализации регионального проекта "Сохранение лесов"</t>
  </si>
  <si>
    <t>Утвержден отчет в ГИИС "ЭБ"</t>
  </si>
  <si>
    <t>Внесение изменений в Паспорт регионального Проекта "Стимулирование спроса на отечественные БАС"</t>
  </si>
  <si>
    <t>Закон о бюджете, данные ПК "Веб-бюджет", данные отделов ИОГВ</t>
  </si>
  <si>
    <t>Сдача отчетности по реализации регионального проекта "Стимулирование спроса на отечественные БАС"</t>
  </si>
  <si>
    <t>Предоставление информации по обеспечению кассового исполнения госпрограммы за счет средств федерального бюджета в текущем финансовом году согласно "Дорожной карте" ДЛХ по ЦФО (еженедельно)</t>
  </si>
  <si>
    <t>ДЛХ по ЦФО</t>
  </si>
  <si>
    <t>ИОГВ (таблица excel)</t>
  </si>
  <si>
    <t>Таблица в формате Excel (еженедельная)</t>
  </si>
  <si>
    <t>Министрество финансов Липецкой области,  УФК по Липецкой области, Министерство экономического развития Липецкой области, Министерство природных ресурсов и экологии Липецкой области, Рослесхоз, Департамент лесного хозяйства по ЦФО</t>
  </si>
  <si>
    <t xml:space="preserve">Предоставление отчетности об осуществлении переданных полномочий в соответствии с ЛК РФ
</t>
  </si>
  <si>
    <t>Исполнение полномочий в соотствествии со ст. 83 ЛК РФ</t>
  </si>
  <si>
    <t>Принятые отчеты Рослесхозом</t>
  </si>
  <si>
    <t>Рослесхоз, Департамент лесного хозяйства по ЦФО, Рослесинфорг</t>
  </si>
  <si>
    <t>Предоставление отчетности</t>
  </si>
  <si>
    <t>Сотрудники  отдела финансирования и администрирования платежей, сотрудники отдела лесного хозяйства</t>
  </si>
  <si>
    <t>Отчетность в статистику (П-4)</t>
  </si>
  <si>
    <t>Консультант отдела финансирования и администрирования платежей за пользование лесом</t>
  </si>
  <si>
    <t>территориальный орган федеральной службы госудврственной статистики по Липецкой области</t>
  </si>
  <si>
    <t>Рослесхоз, Департамент лесного хозяйства по ЦФО, Рослесинфорг, Территориальный орган федеральной службы государственной статистики по Липецкой области</t>
  </si>
  <si>
    <t>Отчетность в вышестоящие организации (ZZ-m, AF -2, 3, 4)</t>
  </si>
  <si>
    <t>Данные ИОГВ, подведомстьвенных организаций</t>
  </si>
  <si>
    <t>Министерство финансов Липецкой области, Рослесхоз</t>
  </si>
  <si>
    <t>Информация о заготовке и реализации древесины</t>
  </si>
  <si>
    <t>1-ОИП  Сведения о доходах лесного хозяйства и их распределение по получателям</t>
  </si>
  <si>
    <t>ЧВедущий консультант отдела финансирования и администрирования платежей за пользование лесом</t>
  </si>
  <si>
    <t>2-ОИП Сведения о поступлении платы за использование лесов в бюджетную систему Российской Федерации</t>
  </si>
  <si>
    <t>Сотрудники отдела финансирования и администрирования платежей за пользование лесом, отдела федерального государственого лесного контроля и лесной охраны
Ивашова М.М. главный консультант
Золотухина Л.Н. консультант</t>
  </si>
  <si>
    <t>3-ОИП Сведения о численности и заработной плате работников</t>
  </si>
  <si>
    <t>4-ОИП Сведения о выдаче разрешений на осуществление геологического изучения недр, о выдаче разрешений на использование земель или земельных участков, о заключении соглашений  об установлении сервитутов на землях лесного фонда</t>
  </si>
  <si>
    <t>Данные отдела ИОГВ</t>
  </si>
  <si>
    <t>5-ОИП Сведения об осуществлении федерального государственного лесного контроля (надзора)</t>
  </si>
  <si>
    <t>Заместитель начальника отдела федерального государственного лесного контроля и лесной охраны</t>
  </si>
  <si>
    <t>6-ОИП Сведения об использовании лесных участков, предоставленных в аренду, постоянное (бессрочное) и безвозмездное пользование, сервитут, публичный сервитут</t>
  </si>
  <si>
    <t>7-ОИП Сведения о возникновении лесных пожаров, их ликвидации и эффективности тушения по целевому назначению лесов</t>
  </si>
  <si>
    <t>Сотрудники мониторинга и прогнозирования пожарной опасности в лесах, администрирования и административной работы</t>
  </si>
  <si>
    <t xml:space="preserve">Данные ИОГВ </t>
  </si>
  <si>
    <t>8-ОИП Сведения об осуществлении лесной охраны</t>
  </si>
  <si>
    <t>9-ОИП Сведения о заготовке древесины на основании договоров купли-продажи  лесных насаждений и контрактов на выполнение работ по охране, защите, воспроизводству лесов, в которые  включены условия купли-продажи лесных насаждений</t>
  </si>
  <si>
    <t xml:space="preserve">10-ОИП Сведения об очагах вредителей и болезней леса
</t>
  </si>
  <si>
    <t>11-ОИП Сведения об отнесении земель, предназначенных для лесовосстановления, к землям, на которых расположены леса</t>
  </si>
  <si>
    <t>12-ОИП Сведения об отводе лесосек и рубках лесных насаждений</t>
  </si>
  <si>
    <t>13-ОИП Сведения об аукционах на право заключения договора аренды лесного участка, находящегося в государственной или муниципальной собственности</t>
  </si>
  <si>
    <t xml:space="preserve">Заместитель начальника отдела  ГЛР и ЦТ и консультант отдела  ГЛР и ЦТ </t>
  </si>
  <si>
    <t>14-ОИП  Сведения о производстве по делам об административных правонарушениях  за нарушения лесного законодательства при осуществлении федерального государственного лесного контроля  (надзора), лесной охраны</t>
  </si>
  <si>
    <t>Консультант отдела  отдела федерального государственного лесного контроля и лесной охраны</t>
  </si>
  <si>
    <t>15-ОИП  Отчет о расходах субъекта Российской Федерации на реализацию переданных исполнительным органам субъектов Российской Федерации в соответствии с частью 1 статьи 83 Лесного кодекса Российской Федерации полномочий                           Российской Федерации</t>
  </si>
  <si>
    <t>Заместитель начальника отдела финансирования и администрирования платежей за пользование лесом,   сотрудники отдела лесного хозяйства </t>
  </si>
  <si>
    <t>16-ОИП Отчет о расходовании средств субвенций из федерального бюджета, предоставленных бюджету субъекта Российской Федерации на реализацию переданных исполнительным органам субъекта Российской Федерации в соответствии с частью 1 статьи 83 Лесного кодекса Российской Федерации полномочий Российской Федерации</t>
  </si>
  <si>
    <t>18-ОИП Сведения о показателях эффективности реализации государственной  программы Российской Федерации "Развитие лесного хозяйства"</t>
  </si>
  <si>
    <t>19-ОИП Сведения о причинении вреда лесам и находящимся в них природным объектам на территории лесного фонда</t>
  </si>
  <si>
    <t>1-ЛХ Сведения о воспроизводстве лесов и лесоразведении</t>
  </si>
  <si>
    <t>Рослесхоз, Липецстат</t>
  </si>
  <si>
    <t>Рослесхоз, Департамент лесного хозяйства по ЦФО, Рослесинфорг, Липецкстат</t>
  </si>
  <si>
    <t xml:space="preserve">12-ЛХ Сведения о защите лесов
</t>
  </si>
  <si>
    <t xml:space="preserve">Ключевые показатели эффективности </t>
  </si>
  <si>
    <t xml:space="preserve">Сотрудники отдела лесного хозяйства </t>
  </si>
  <si>
    <t xml:space="preserve">ОПЕР-ЛВ  Оперативная информация о воспроизводстве лесов и лесоразведении
</t>
  </si>
  <si>
    <t>Департамент лесного хозяйства по ЦФО, Рослесинфорг</t>
  </si>
  <si>
    <t>Справка о заготовке лесосеменного сырья и семян</t>
  </si>
  <si>
    <t>Учет урожая семян лесных растений</t>
  </si>
  <si>
    <t>Департамент лесного хозяйства по ЦФО, филиал ФБУ "Рослесозащита" - "ЦЗЛ Тульской области"</t>
  </si>
  <si>
    <t>Данные от подведомственных ИОГВ  учреждений</t>
  </si>
  <si>
    <t>Рослесхоз, Департамент лесного хозяйства по ЦФО, Рослесинфорг, филиал ФБУ "Рослесозащита" - "ЦЗЛ Тульской области"</t>
  </si>
  <si>
    <t>Внесение информации в УБП-мониторинг</t>
  </si>
  <si>
    <t>Оказание государственных услуг</t>
  </si>
  <si>
    <t>Своевременное и качественное предоставление государственных услуг</t>
  </si>
  <si>
    <t>Росреестр, администрации сельских поселений, территориальные отделы, МЧС</t>
  </si>
  <si>
    <t>Предоставление гражданам лесных насаждений для заготовки древесины для собственных нужд</t>
  </si>
  <si>
    <t xml:space="preserve">физические лица </t>
  </si>
  <si>
    <t>Договор купли-продажи лесных насаждений для собственных нужд или аргументированный отказ</t>
  </si>
  <si>
    <t>Выдача разрешения по геологическому изучению недр на землях лесного фонда</t>
  </si>
  <si>
    <t>Начальник отдела ГЛР и ЦТ</t>
  </si>
  <si>
    <t>Решение о выдаче разрешения по геологическому изучению недр на землях лесного фонда</t>
  </si>
  <si>
    <t>Прием лесной декларации</t>
  </si>
  <si>
    <t>Рыжков С.Н. - заместитель начальника отдела лесного хозяйства</t>
  </si>
  <si>
    <t>принятие/отказ</t>
  </si>
  <si>
    <t>1/1.5</t>
  </si>
  <si>
    <t>Прием отчета об использовании лесов</t>
  </si>
  <si>
    <t>1/24</t>
  </si>
  <si>
    <t>Прием отчета о воспроизводстве лесов и лесоразведении</t>
  </si>
  <si>
    <t>Прием отчета о защите лесов</t>
  </si>
  <si>
    <t>Прием отчета об охране лесов</t>
  </si>
  <si>
    <t>Начальник отдела мониторинга и прогнозирования пожарной опасности в лесах, администрирования и административной работы</t>
  </si>
  <si>
    <t>Прием отчета об охране лесов от загрязнения и иного негативного воздействия</t>
  </si>
  <si>
    <t>Предоставление в пределах земель лесного фонда лесных участков в постоянное (бессрочное) пользование.</t>
  </si>
  <si>
    <t>предоставление/отказ</t>
  </si>
  <si>
    <t>ФНС России, Росреестр</t>
  </si>
  <si>
    <t>Предоставление лесных участков в безвозмездное пользование</t>
  </si>
  <si>
    <t>Предоставление лесных участков в аренду</t>
  </si>
  <si>
    <t>Проведение государственной экспертизы проекта освоения лесов</t>
  </si>
  <si>
    <t>физические лица, юридический лица, индивидуальные предприниматели</t>
  </si>
  <si>
    <t>ОКУ "Лесничества", общественное объединение (некоммерческих организаций, осуществляющих деятельность в области охраны окружающей среды (экология, природопользование)</t>
  </si>
  <si>
    <t>Согласование проекта лесовосстановления</t>
  </si>
  <si>
    <t>юридический лица, индивидуальные предприниматели</t>
  </si>
  <si>
    <t>Согласование проекта лесоразведения</t>
  </si>
  <si>
    <t>Утверждение актов лесопатологического обследования</t>
  </si>
  <si>
    <t>утверждение/отклонение</t>
  </si>
  <si>
    <t>Ведение Реестра государственных услуг</t>
  </si>
  <si>
    <t>внесение сведений</t>
  </si>
  <si>
    <t>согласование</t>
  </si>
  <si>
    <t>Министерство социальной политики Липецкой области</t>
  </si>
  <si>
    <t>ФГРУ 3.0</t>
  </si>
  <si>
    <t>Предоставление оперативной отчетности о предоставлении государственных услуг в ГАСУ</t>
  </si>
  <si>
    <t>предоставление сведений</t>
  </si>
  <si>
    <t>оперативная отчетность</t>
  </si>
  <si>
    <t>ГАС «Управление»</t>
  </si>
  <si>
    <t>Организация мероприятий "Вальщик леса" и "Тракторист года"</t>
  </si>
  <si>
    <t>ИОГВ, подведоственные ИОГВ учреждения</t>
  </si>
  <si>
    <t>Мероприятие</t>
  </si>
  <si>
    <t>ОКУ "Лесничества", ГАУ "Лесхозы", ОСАУ "Лесопожарный центр", Администрация муниципального района (округа), СМИ</t>
  </si>
  <si>
    <t>Организация международной акции "Сад Памяти", всероссийской акции "Сохраним лес" на территории Липецкой области</t>
  </si>
  <si>
    <t>Начальник отдела, консультант отдела лесного хозяйства</t>
  </si>
  <si>
    <t>ИОГВ, граждане Липецкой области</t>
  </si>
  <si>
    <t>Акции</t>
  </si>
  <si>
    <t>ОКУ "Лесничества", ГАУ "Лесхозы", ОСАУ "Лесопожарный центр", Администрация муниципального района (округа), СМИ,  волонтеры</t>
  </si>
  <si>
    <t>Организация и проведение акций "Лесной десант"</t>
  </si>
  <si>
    <t>Начальник отдела государственного контроля и охраны леса</t>
  </si>
  <si>
    <t xml:space="preserve"> Волонтеры, добровольцы</t>
  </si>
  <si>
    <t>Положение о проведении мероприятия</t>
  </si>
  <si>
    <t>ОКУ "Лесничества", СМИ, Ведомства области, волонтеры</t>
  </si>
  <si>
    <t>Обращения граждан и юридических лиц</t>
  </si>
  <si>
    <t>Сотрудники министерства</t>
  </si>
  <si>
    <t>Аргументированный ответ, оформленный в соответствии с требованиями</t>
  </si>
  <si>
    <t>Соисполнитель по обращению (Портал «Развиваем Липецкую область вместе!»), ОКУ "Лесничества"</t>
  </si>
  <si>
    <t>Осуществление закупок товаров, работ, услуг конкурентными способами</t>
  </si>
  <si>
    <t>Начальник отдела финансирования и администрирования платежей за пользованием леса</t>
  </si>
  <si>
    <t>Обеспечение деятельности ИОГВ в целях осуществления исполнения переданных полномочий</t>
  </si>
  <si>
    <t>Закупка товаров, работ, услуг конкурентными способами</t>
  </si>
  <si>
    <t xml:space="preserve">вспомогательный </t>
  </si>
  <si>
    <t>Формирование технического задания для осуществления закупочной процедуры</t>
  </si>
  <si>
    <t>Данные от подведомственных ИОГВ автономных учреждений, данные ИОГВ</t>
  </si>
  <si>
    <t>Техническое задание для осуществления закупочной процедуры</t>
  </si>
  <si>
    <t>Корректировка описания объекта закупки</t>
  </si>
  <si>
    <t>Заявка на осуществление закупки товара (работ, услуг)</t>
  </si>
  <si>
    <t>Описание объекта закупки</t>
  </si>
  <si>
    <t>Поиск потециальных участнков а закуке</t>
  </si>
  <si>
    <t>Перечень потенциальных хозяйствующих субъектов, имеющих возможность поставить товар</t>
  </si>
  <si>
    <t>Направление потенциальным участникам описания объекта закупки, при необходимости внесение изменений в описание объекта закупки</t>
  </si>
  <si>
    <t>Коммерческие предложения потенциальных участников закупки</t>
  </si>
  <si>
    <t>Определение начальной (максимальной) цены контрактаи в случае необходимости внесение изменений в план-график</t>
  </si>
  <si>
    <t>Начальная (максимальная) цена контракта</t>
  </si>
  <si>
    <t>Подготовка извещения и документов и размещение на официальном сайте Единой информационной системы в сфере закупок</t>
  </si>
  <si>
    <t>размещение на официальном сайте Единой информационной системы в сфере закупок</t>
  </si>
  <si>
    <t xml:space="preserve">Рассматрение  заявок на участие в закупке, информации и документов, направленных оператором электронной площадки, и принятие решения о признании заявки на участие в закупке соответствующей извещению об осуществлении закупки или об отклонении заявки на участие в закупке.  Формирование протокола подведения итогов и размещение его на официальном сайте Единой информационной системы в сфере закупок
</t>
  </si>
  <si>
    <t>Заявки участников закупки</t>
  </si>
  <si>
    <t xml:space="preserve">Формирование проекта государственного контракта и направление на подпись победителю </t>
  </si>
  <si>
    <t>Проект государственного контракта</t>
  </si>
  <si>
    <t>Подписанный контракт победителем</t>
  </si>
  <si>
    <t>Подписание контракта заказчиком и направление сведений о контракте для размещения на официальном сайте Единой информационной системы в сфере закупок</t>
  </si>
  <si>
    <t xml:space="preserve">Подписанный контракт </t>
  </si>
  <si>
    <t>Внесение государственного контракта в реестр контрактов</t>
  </si>
  <si>
    <t>Контроль сроков поставки товара (оказания услуг, выполнения работ)</t>
  </si>
  <si>
    <t>Государственный контракт</t>
  </si>
  <si>
    <t>Поставка товара (оказание услуги, выполнение работы)</t>
  </si>
  <si>
    <t>Проведение экспертизы результатов оказанной услуги выполненных работ по государственному контракту</t>
  </si>
  <si>
    <t>Акт выполненных работ</t>
  </si>
  <si>
    <t>Результат проведенной экспертизы (положительный/отрицательный)</t>
  </si>
  <si>
    <t>Приемка результатов по государственному контракту</t>
  </si>
  <si>
    <t>Поставленный товар (оказаная услуга, выполненая работа)</t>
  </si>
  <si>
    <t>Подписание документа о приемке или мотивированный отказ от подписания документа о приемке</t>
  </si>
  <si>
    <t>Подготовка  отчета «Об объеме закупок у субъектов малого предпринимательства, социально ориентированных некоммерческих организаций, организаций инвалидов и учреждений и предприятий уголовно-исполнительной системы» (ежеквартално)</t>
  </si>
  <si>
    <t>Заключенные контракты</t>
  </si>
  <si>
    <t>Отчет «Об объеме закупок у субъектов малого предпринимательства, социально ориентированных некоммерческих организаций, организаций инвалидов и учреждений и предприятий уголовно-исполнительной системы»</t>
  </si>
  <si>
    <t>Подготовка отчета «О закупке товаров, работ, услуг у единственного поставщика (подрядчика, исполнителя)» по форме «Информация о закупках товаров (работ, услуг), осуществленных у единственного поставщика (подрядчика, исполнителя)</t>
  </si>
  <si>
    <t xml:space="preserve">Заключенные контракты с учетом подведомственных учреждений </t>
  </si>
  <si>
    <t>Отчет «О закупке товаров, работ, услуг у единственного поставщика (подрядчика, исполнителя)» по форме «Информация о закупках товаров (работ, услуг), осуществленных у единственного поставщика (подрядчика, исполнителя)</t>
  </si>
  <si>
    <t>Осуществление переданных полномочий в соответствии со ст. 83 ЛК РФ</t>
  </si>
  <si>
    <t>Реализация переданных полномочий</t>
  </si>
  <si>
    <t>Составление ежемесячной отчетности</t>
  </si>
  <si>
    <t>Консультант отдела финансирования и администрирования платежей за пользованием леса</t>
  </si>
  <si>
    <t>ГРБС</t>
  </si>
  <si>
    <t>данные от подведомственных организаций</t>
  </si>
  <si>
    <t>создан месячный отчет</t>
  </si>
  <si>
    <t>Составление квартальной отчетности</t>
  </si>
  <si>
    <t>ГРБС, Статистика, УФНС по Липецкой области</t>
  </si>
  <si>
    <t>данные от подведомственных организаций, сводные данные по управлению</t>
  </si>
  <si>
    <t>создан квартальный отчет</t>
  </si>
  <si>
    <t xml:space="preserve">Начисление заработной платы </t>
  </si>
  <si>
    <t>Данные в ПК "1С"</t>
  </si>
  <si>
    <t>начислена заработная плата</t>
  </si>
  <si>
    <t xml:space="preserve">Отправка сведений по больничному листу в СФР </t>
  </si>
  <si>
    <t>Сведения по з/п за 2 года</t>
  </si>
  <si>
    <t>Составление уведомлений о налогах для ЕНП</t>
  </si>
  <si>
    <t>УФНС</t>
  </si>
  <si>
    <t>Зачисление платежей на единый счет</t>
  </si>
  <si>
    <t>Расчет налогов для перечисления в бюджет</t>
  </si>
  <si>
    <t xml:space="preserve">Налоговая,ОСФР, </t>
  </si>
  <si>
    <t>Уведомление о зачислении налоговых платежей</t>
  </si>
  <si>
    <t>Расчет профсоюзных взносов для перечисления</t>
  </si>
  <si>
    <t>Профсоюз</t>
  </si>
  <si>
    <t>Перечисление профсоюзных взносов</t>
  </si>
  <si>
    <t>Создание реестров для перечисления выплат сотруднакам</t>
  </si>
  <si>
    <t>Физлицо</t>
  </si>
  <si>
    <t>Получение з/п и иных выплат</t>
  </si>
  <si>
    <t xml:space="preserve">Составление сводной годовой отчетности по управлению </t>
  </si>
  <si>
    <t>Данные в ПК "Веб бюджет", "СВОД-СМАРТ"</t>
  </si>
  <si>
    <t>создан годовой отчет</t>
  </si>
  <si>
    <t>Проведение годовой инвентаризации</t>
  </si>
  <si>
    <t>ПБС</t>
  </si>
  <si>
    <t>Приказ министерства</t>
  </si>
  <si>
    <t>Составление платежных поручений</t>
  </si>
  <si>
    <t>Физические и юридические лица и индивидуальные предприниматели</t>
  </si>
  <si>
    <t>Первичные документы, график платежей</t>
  </si>
  <si>
    <t>Перечисление</t>
  </si>
  <si>
    <t>Создание и изменения бюджетных и денежных обязательств</t>
  </si>
  <si>
    <t>ЮЛ и физлица</t>
  </si>
  <si>
    <t>Первичные документы</t>
  </si>
  <si>
    <t>Оплата работ и услуг, перечисление субсидий</t>
  </si>
  <si>
    <t>Подписание документов для осуществления платежей</t>
  </si>
  <si>
    <t>Платежное поручение в программе 1"С"</t>
  </si>
  <si>
    <t>Списание денежных средств с лицевого счета</t>
  </si>
  <si>
    <t>Создание отчетов о расходах подотчетного лица</t>
  </si>
  <si>
    <t>Физлица</t>
  </si>
  <si>
    <t>Перечисление денежных средств</t>
  </si>
  <si>
    <t>Предоставление данных для бухгалтерских отчетов через регистры бухгалтерского учета</t>
  </si>
  <si>
    <t>ИОГВ, ГРБС (ФАЛХ)</t>
  </si>
  <si>
    <t>Автоматическое формирование отчетов (формы: 0503127, 0503123, 0503169, 0503110, 0503121, 0503125)</t>
  </si>
  <si>
    <t>Государственные гражданские служащие, лица, осуществляющие обеспечение деятельности управления</t>
  </si>
  <si>
    <t>Направление платежных поручений</t>
  </si>
  <si>
    <t>Оказание материальной помощи</t>
  </si>
  <si>
    <t>ВП.7.2. ГИС, информационные системы</t>
  </si>
  <si>
    <t>Размещение  декларации  о потреблении энергетических ресурсов.</t>
  </si>
  <si>
    <t>ГИС "Энергоэффективность"</t>
  </si>
  <si>
    <t>Статус декларации "Принято"</t>
  </si>
  <si>
    <t>Разработка и принятие НПА</t>
  </si>
  <si>
    <t>ИОГВ, юр лица, физ лица</t>
  </si>
  <si>
    <t>требования законодательства</t>
  </si>
  <si>
    <t>принят НПА</t>
  </si>
  <si>
    <t>Информирование населения о деятельности министерства</t>
  </si>
  <si>
    <t>Общественность</t>
  </si>
  <si>
    <t>Инфо повод</t>
  </si>
  <si>
    <t>Публикация в соцсетях с иллюстрацией</t>
  </si>
  <si>
    <t>Внутренний финансовый контроль и аудит</t>
  </si>
  <si>
    <t>Подведомтсвенные учреж.</t>
  </si>
  <si>
    <t>Составление и подписание акта</t>
  </si>
  <si>
    <t>Осуществление внутреннего финансового контроля и аудита в подведомтсвенных учреждениях</t>
  </si>
  <si>
    <t>Подведомтсвенные учреждения</t>
  </si>
  <si>
    <t>Кадры</t>
  </si>
  <si>
    <t>Консультант отдела мониторинга и прогнозирования пожарной опасности в лесах, администрирования и административной работы</t>
  </si>
  <si>
    <t>Замещение вакан</t>
  </si>
  <si>
    <t>Вакансия замещена</t>
  </si>
  <si>
    <t>Оформление наградных материалов</t>
  </si>
  <si>
    <t xml:space="preserve">Комиссии по награждению </t>
  </si>
  <si>
    <t>Согласование курирующих структур</t>
  </si>
  <si>
    <t>Согласование кандидатов и продление ТД директоров подведомственных учреждений</t>
  </si>
  <si>
    <t>Подготовка презентации и формирование пакета документов</t>
  </si>
  <si>
    <t>Согласование курирующих структур и составление приказа</t>
  </si>
  <si>
    <t>Ведение трудовых книжек и личных дел директоров подведомственных учреждений</t>
  </si>
  <si>
    <t xml:space="preserve">Анализ предоставленных документов </t>
  </si>
  <si>
    <t>Формирование личного дела директора подведомственного учреждения</t>
  </si>
  <si>
    <t>Проверка Спраки БК директоров подведомственных учреждений</t>
  </si>
  <si>
    <t>Проверка контролирующих органов</t>
  </si>
  <si>
    <t>Согласование и оформление служебной командировки ГГС</t>
  </si>
  <si>
    <t>Государственные гражданские служащие</t>
  </si>
  <si>
    <t xml:space="preserve">Письмо о цели командировки </t>
  </si>
  <si>
    <t>Приказ о направлении в командировку</t>
  </si>
  <si>
    <t>Работа комиссии по  соблюдению требований к служебному поведению ГГС министерства лесного хозяйства Липецкой области и урегулированию конфликта интересов</t>
  </si>
  <si>
    <t xml:space="preserve">Представление контролирующих органов </t>
  </si>
  <si>
    <t>Приказ и протокол заседания комиссии</t>
  </si>
  <si>
    <t>Работа комиссии по противодействию коррупции министерства лесного хозяйства Липецкой области</t>
  </si>
  <si>
    <t>Проведение служебных проверок</t>
  </si>
  <si>
    <t>Результат служебной проверки</t>
  </si>
  <si>
    <t>Работа в режимно-секретном подразделении.</t>
  </si>
  <si>
    <t>Работа с документами по гос. тайне</t>
  </si>
  <si>
    <t>Ведение трудовых книжек и личных дел ГГС министерства</t>
  </si>
  <si>
    <t>Систематизация документов</t>
  </si>
  <si>
    <t>Формирование личного дела ГГС</t>
  </si>
  <si>
    <t>Организация клиентоцентричной корпоративной среды органа власти</t>
  </si>
  <si>
    <t>НПА, регулирующие клиентоцентричность</t>
  </si>
  <si>
    <t>Приказ минлесхоза</t>
  </si>
  <si>
    <t>Поиск, оценка, найм и интеграция сотрудников в организацию</t>
  </si>
  <si>
    <t>Работа с документами</t>
  </si>
  <si>
    <t>Подготовка документации к проведению аттестации государственных служащих, проведение аттестации сотрудников подведомственных учреждений</t>
  </si>
  <si>
    <t>Повышение профессиональных компетенций сотрудников лесной отрасли, формирование кадрового резерва</t>
  </si>
  <si>
    <t>Формирование, уточнение и исполнение областного бюджета по лесной отрасли</t>
  </si>
  <si>
    <t>Доведено и освоено финансирование</t>
  </si>
  <si>
    <t>Подготовка и направление обоснований бюджетных ассигнований к проекту закона об областном бюджете</t>
  </si>
  <si>
    <t>Парфенова Н.В Начальник отдела, Аршинова Н.Н. Зам. начальника отдела, Федякина Ж.А. консультант</t>
  </si>
  <si>
    <t>Предельные лимиты финансирования</t>
  </si>
  <si>
    <t>Подготовка и направление изменений в закон об областном бюджете</t>
  </si>
  <si>
    <t>Парфенова Н.В Начальник отдела, Аршинова Н.Н. Зам. начальника отдела</t>
  </si>
  <si>
    <t>Письмо</t>
  </si>
  <si>
    <t>Формирование РРО</t>
  </si>
  <si>
    <t>Парфенова Н.В Начальник отдела</t>
  </si>
  <si>
    <t>РРО</t>
  </si>
  <si>
    <t>Формирование и внесение изменений в смету ИОГВ</t>
  </si>
  <si>
    <t>Федякина Ж.А. консультант</t>
  </si>
  <si>
    <t>Бюджетная смета</t>
  </si>
  <si>
    <t>Проверка и утверждение смет казенных учреждений</t>
  </si>
  <si>
    <t>Подготовка и направление предложений об изменении бюджетной классификации</t>
  </si>
  <si>
    <t>письмо</t>
  </si>
  <si>
    <t>Ведение и изменение бюджетной росписи</t>
  </si>
  <si>
    <t>справка Ф2</t>
  </si>
  <si>
    <t>Оценка качества финансового менеджмента</t>
  </si>
  <si>
    <t>Проверка и согласование штатных расписаний подведомственных учреждений</t>
  </si>
  <si>
    <t>консультант отдела финансирования и администрирования платежей за пользованием леса</t>
  </si>
  <si>
    <t>Данные от подведомственных ИОГВ автономных и казенных учреждений</t>
  </si>
  <si>
    <t>Штатное расписание</t>
  </si>
  <si>
    <t>Проверка документации для премирования директоров подведомственных учреждений</t>
  </si>
  <si>
    <t>Приказ о премировании</t>
  </si>
  <si>
    <t>Подготовка представлений на премирование государственных служащих</t>
  </si>
  <si>
    <t>Показатели эффективности деятельности</t>
  </si>
  <si>
    <t>Подготовка НПА</t>
  </si>
  <si>
    <t>Сотрудники отдела финансирования и администрирования платежей за пользованием леса</t>
  </si>
  <si>
    <t>Порядок предоставления субсидий</t>
  </si>
  <si>
    <t>Проверка документации  и обоснований для выделения субсидии на иные цели</t>
  </si>
  <si>
    <t>Приказ о выделении субсидии автономному учреждению</t>
  </si>
  <si>
    <t>Заключение соглашения о предоставлении субсидии на иные цели</t>
  </si>
  <si>
    <t>Проверка результатов предосталвления субсидий</t>
  </si>
  <si>
    <t>Отчет об использовании субсидий</t>
  </si>
  <si>
    <t>Безопасность, устойчивое управление, реагирование на ЧС</t>
  </si>
  <si>
    <t>исполнение мероприятий</t>
  </si>
  <si>
    <t>Проведение мероприятий в соответствии с требованиями законодательства по Мобподготовке.</t>
  </si>
  <si>
    <t>Проведение мероприятий в соответствии с требованиями законодательства по ГО и ЧС</t>
  </si>
  <si>
    <t>Начальник отдела ГЛР и ЦТ, начальник отдела мониторинга и прогнозирования пожарной опасности в лесах</t>
  </si>
  <si>
    <t>Проведение мероприятий в соответствии с требованиями законодательства по РСП</t>
  </si>
  <si>
    <t>ВП.16. Обеспечение доступа к информации о деятельности ОГВ</t>
  </si>
  <si>
    <t>Просветительская работа</t>
  </si>
  <si>
    <t>Мастер-классы, выставки, фестивали</t>
  </si>
  <si>
    <t>Мониторинг новостей, анализ аудитории, распространение информации</t>
  </si>
  <si>
    <t>Ведущий консультант отдела ГЛР и ЦТ</t>
  </si>
  <si>
    <t>Обеспечение административно-хозяйственной деятельности</t>
  </si>
  <si>
    <t>Первый заместитель министра , заместитель министра</t>
  </si>
  <si>
    <t>Обеспечение функционирования офиса, поддержание инфраструктуры и созданию комфортных условий для работы сотрудников</t>
  </si>
  <si>
    <t>Организация хранения, учёта, использования и уничтожения документов в соответствии с законодательством РФ</t>
  </si>
  <si>
    <t>Предоставление правовой поддержки физическим и юридическим лицам</t>
  </si>
  <si>
    <t>Предоставление мер государственной поддержки</t>
  </si>
  <si>
    <t>ОП. Организация и проведение мероприятий, конкурсов</t>
  </si>
  <si>
    <t>ОП. Работа с обращениями граждан</t>
  </si>
  <si>
    <t>ОП. Сбор и формирование отчетов</t>
  </si>
  <si>
    <t>ВП.4.3. Кадровый документооборот</t>
  </si>
  <si>
    <t>Министерство</t>
  </si>
  <si>
    <t>Вид процесса</t>
  </si>
  <si>
    <t>ОП.1.5. Госпрограммы</t>
  </si>
  <si>
    <t>ВП.2.3. Бухгалтерский учет</t>
  </si>
  <si>
    <t>ГУ. Предоставление Государственных услуг</t>
  </si>
  <si>
    <t>Человеко/ часы (на исполнение 1 экземпляра процесса)</t>
  </si>
  <si>
    <t>ОП.1.1. Основные процессы ОГВ</t>
  </si>
  <si>
    <t>ВП.2.2. Проведение закупок</t>
  </si>
  <si>
    <t>Обеспечение доступа к информации о деятельности ОГВ</t>
  </si>
  <si>
    <t>Вывод услуги на портал Госуслуги.ру при помощи ВКУ</t>
  </si>
  <si>
    <t>Заместитель министра (Кузнецова Е.А.)</t>
  </si>
  <si>
    <t>Согласование запроса с Минцифрой РФ возможности вывода услуги на портал</t>
  </si>
  <si>
    <t>Разработка макета экранной формы</t>
  </si>
  <si>
    <t>Прохождение редакторского контроля экранной формы Минцифры РФ</t>
  </si>
  <si>
    <t>Отработка чек-листа вывода услуги с Минцифрой РФ</t>
  </si>
  <si>
    <t>Направление официальных писем в Минцифры РФ и в инициирующее ведомство о выводе форме</t>
  </si>
  <si>
    <t>Координация процессов цифровизации КНД в регионе</t>
  </si>
  <si>
    <t>Организация, контроль и оценка степени внедрения ГИС ТОР КНД</t>
  </si>
  <si>
    <t>Взаимодействие с оператором ГИС ТОР КНД по вопросам эксплуатации, развития и программно-технической поддержки</t>
  </si>
  <si>
    <t>Методологическая, техническая и информационная поддержка пользователей ГИС ТОР КНД</t>
  </si>
  <si>
    <t>Направление заявки на создание ЛК ГИС ТОР КНД, подключение к системе ДО</t>
  </si>
  <si>
    <t xml:space="preserve">Экспертиза административных регламентов </t>
  </si>
  <si>
    <t>Рассмотрение направленных на согласование административных регламентов</t>
  </si>
  <si>
    <t>Ведение реестра стартапов Липецкой области</t>
  </si>
  <si>
    <t>Принятие решения о включении организации в реестр стартапов</t>
  </si>
  <si>
    <t>Предоставление выписки из реестра стартапов по запросу организации</t>
  </si>
  <si>
    <t>Ежегодная актуализация реестр</t>
  </si>
  <si>
    <t>Актуализация программы цифровой трансформации региона</t>
  </si>
  <si>
    <t>Заместитель министра (Шапошникова И.А.)</t>
  </si>
  <si>
    <t>Формирование мероприятий программы и показателей</t>
  </si>
  <si>
    <t>Согласование с ОИВ</t>
  </si>
  <si>
    <t>Согласование с ФОИВ</t>
  </si>
  <si>
    <t>Формирование общего отчета исполнения программы цифровой трансформации</t>
  </si>
  <si>
    <t xml:space="preserve">Формирование и актуализация стратегии развития искусственного интеллекта региона </t>
  </si>
  <si>
    <t>Заместитель министра (Калинина Н.В.)</t>
  </si>
  <si>
    <t>Формирование целевых достижений в части развития ИТ-инфраструктуры</t>
  </si>
  <si>
    <t>Организация и развитие региональной команды по внедрению технологий ИИ и обучение специалистов в области ИИ</t>
  </si>
  <si>
    <t>Формирование целевого реестра процессов региона</t>
  </si>
  <si>
    <t>Аудит данных и описание целевого реестра данных региона</t>
  </si>
  <si>
    <t>Получение доступа к федеральным видам сведений для региональных ИТ-систем</t>
  </si>
  <si>
    <t>Определение необходимых видов сведений</t>
  </si>
  <si>
    <t>Формирование правовых оснований для запроса доступа</t>
  </si>
  <si>
    <t>Формирование заявок в ЛК УВ(личный кабинет участника взаимодействия)</t>
  </si>
  <si>
    <t>Контроль реализации мероприятия по выдаче ИТ-ипотеки физическим лицам</t>
  </si>
  <si>
    <t>Заместители министра (Шапошникова И.А., Кузнецова Е.А.)</t>
  </si>
  <si>
    <t>Разработка НПА по выдаче ИТ-ипотеки</t>
  </si>
  <si>
    <t>Заключение соглашения с оператором по выдаче ИТ-ипотеки</t>
  </si>
  <si>
    <t>Реализация мероприятий по поддержке ИТ-ипотеки</t>
  </si>
  <si>
    <t>Формирование отчетности по ИТ-ипотеке</t>
  </si>
  <si>
    <t>Согласование и размещение антенно-мачтовых сооружений</t>
  </si>
  <si>
    <t>Начальник отдела связи и инфраструктурных решений</t>
  </si>
  <si>
    <t>Реализация федерального проекта "Устранение цифрового неравенства"</t>
  </si>
  <si>
    <t>Получение списка по результатам голосования на портале Госуслуги за населенный пункт, в котором необходимо установить базовую станцию</t>
  </si>
  <si>
    <t>Обследование качества связи в приоритетных населенных пунктах</t>
  </si>
  <si>
    <t>Формирование адресного перечня</t>
  </si>
  <si>
    <t>Получение разрешения на размещение базовой станции</t>
  </si>
  <si>
    <t>Контроль за сроками выполнения строительно-монтажных работ</t>
  </si>
  <si>
    <t>Контроль за выводом в эфир базовых станций в установленные сроки</t>
  </si>
  <si>
    <t>Реализация регионального проекта GPON</t>
  </si>
  <si>
    <t>Формирование адресного списка населенных пунктов</t>
  </si>
  <si>
    <t>Проведение конкурсного отбора среди операторов</t>
  </si>
  <si>
    <t>Возмещение затрат сетей сельской связи  по региональному проекту GPON</t>
  </si>
  <si>
    <t>Мониторинг бесперебойного функционирования Единой системы приема и обработки сообщений граждан, объединяющей ЕДС и портал "Развиваем Липецкую область вместе!"</t>
  </si>
  <si>
    <t>Обеспечение оказания консультативной и методической помощи по
вопросам функционирования Единой системы</t>
  </si>
  <si>
    <t>Разработка и реализация комплексов процессных мероприятий госпрограмм</t>
  </si>
  <si>
    <t>Начальник отдела информационно-аналитической деятельности</t>
  </si>
  <si>
    <t>Формирование паспорта ведомственного проекта "Доступная сельская связь" в рамках гос.программы "Эффективное государственное управление и развитие муниципальной службы"</t>
  </si>
  <si>
    <t>Формирование паспорта комплекса процессных мероприятий госпрограммы "Эффективное государственное управление и развитие муниципальной службы"</t>
  </si>
  <si>
    <t>Мониторинг контрольных точек комплексов процессных мероприятий госпрограммы "Эффективное государственное управление и развитие муниципальной службы"</t>
  </si>
  <si>
    <t>Формирование паспорта комплекса процессных мероприятий госпрограммы "Обеспечение общественной безопасности населения и территории Липецкой области"</t>
  </si>
  <si>
    <t>Мониторинг контрольных точек комплексов процессных мероприятий госпрограммы "Обеспечение общественной безопасности населения и территории Липецкой области"</t>
  </si>
  <si>
    <t>Формирование паспорта комплекса процессных мероприятий госпрограммы "Обеспечение жителей Липецкой области качественным жильем, социальной и инженерной инфраструктурой"</t>
  </si>
  <si>
    <t>Мониторинг контрольных точек комплексов процессных мероприятий госпрограммы "Обеспечение жителей Липецкой области качественным жильем, социальной и инженерной инфраструктурой"</t>
  </si>
  <si>
    <t>ОП. ОТЧЕТЫ</t>
  </si>
  <si>
    <t>Формирование рейтинга цифровой зрелости региона</t>
  </si>
  <si>
    <t xml:space="preserve">Анализ методик показателей </t>
  </si>
  <si>
    <t>Формирование мероприятий по достижению показателей</t>
  </si>
  <si>
    <t>Сбор данных по достижению показателей</t>
  </si>
  <si>
    <t>Внесение информации в ФГИС КИ</t>
  </si>
  <si>
    <t>Формирование отчетов по импортозамещению, информационной безопасности, IT ипотеке, IT активам</t>
  </si>
  <si>
    <t>Организация ежемесячного внесения информации РОИВ по импортозамещению во ФГИС КИ</t>
  </si>
  <si>
    <t>Проверка корректности и формирование сводного отчета для Минцифры РФ</t>
  </si>
  <si>
    <t xml:space="preserve">Подготовка данных для рассчета IQ городов на федеральной платформе "Умный город" </t>
  </si>
  <si>
    <t>Подготовка запросов ИОГВ и муниципальных образований области для сбора необходимых данных</t>
  </si>
  <si>
    <t>Аккумулирование и анализ полученных данных</t>
  </si>
  <si>
    <t xml:space="preserve">Внесение данных на федеральную платформу </t>
  </si>
  <si>
    <t>Формирование необходимых отчетов и их подписание у глав МО и заместителя Губернатора Липецкой области</t>
  </si>
  <si>
    <t>Направление отчетов в Минстрой РФ</t>
  </si>
  <si>
    <t>Анализ и согласование планов и отчетов по информатизации ОИГВ</t>
  </si>
  <si>
    <t xml:space="preserve">Рассмотрение планов по информатизации </t>
  </si>
  <si>
    <t>Формирование замечаний</t>
  </si>
  <si>
    <t>Согласование планов</t>
  </si>
  <si>
    <t>Рассмотрение отчетов по реализации планов информатизации</t>
  </si>
  <si>
    <t>ОП. КОНКУРСЫ. МЕРОПРИЯТИЯ</t>
  </si>
  <si>
    <t>Организация соревнований профессионального мастерства и награждения лучших работников связи</t>
  </si>
  <si>
    <t>Подготовка сценария к мероприятию награждения</t>
  </si>
  <si>
    <t>Формирование списка и и сбор характеристик связистов для награждения</t>
  </si>
  <si>
    <t>Подготовительные мероприятия по организации праздника</t>
  </si>
  <si>
    <t>Проведение мероприятия награждения и спортивных соревнований среди операторов связи</t>
  </si>
  <si>
    <t>Подведение итогов праздника и опубликование пресс-релиза в СМИ</t>
  </si>
  <si>
    <t>Работа с обращениями жителей по 59-ФЗ</t>
  </si>
  <si>
    <t>Рассмотрение поступившего обращения</t>
  </si>
  <si>
    <t>Подготовка запроса в организацию по компетенции обращения</t>
  </si>
  <si>
    <t>Рассмотрение ответа от ответственной организации</t>
  </si>
  <si>
    <t>Обобщение информации и подготовка ответа на обращение</t>
  </si>
  <si>
    <t>Подготовка отчета на портал ССТУ</t>
  </si>
  <si>
    <t>Работа с обращениями жителей на портал "Развиваем Липецкую область вместе"</t>
  </si>
  <si>
    <t>ВП.ПЛАН.Б</t>
  </si>
  <si>
    <t>Планирование областного бюджета</t>
  </si>
  <si>
    <t>Планирование доходов для администраторов доходов</t>
  </si>
  <si>
    <t>Предоставление субсидий юридическим лицам</t>
  </si>
  <si>
    <t>Разработка порядка предоставления субсидии ОБУ "Информацинно-технический центр"</t>
  </si>
  <si>
    <t>Проверка соблюдения порядка и условий предоставления субсидии на основании предоставленных отчетов, в том числе в части достижения результатов предоставления субсидии ОБУ "Информацинно-технический центр"</t>
  </si>
  <si>
    <t>Разработка порядка предоставления субсидии АНО "Цифровой регион. Липецк"</t>
  </si>
  <si>
    <t>Проверка соблюдения порядка и условий предоставления субсидии на основании предоставленных отчетов, в том числе в части достижения результатов предоставления субсидии АНО "Цифровой регион. Липецк"</t>
  </si>
  <si>
    <t>Проведение закупок товаров, работ и услуг для нужд Минцифры ЛО</t>
  </si>
  <si>
    <t>Формирование и изменение плана-графика закупок</t>
  </si>
  <si>
    <t>Обоснование Н(М)ЦК</t>
  </si>
  <si>
    <t xml:space="preserve">Описание объекта закупки и подготовка технического задания </t>
  </si>
  <si>
    <t xml:space="preserve">Подготовка извещения </t>
  </si>
  <si>
    <t xml:space="preserve">Рассмотрение запросов участников закупки и подготовка разъяснений </t>
  </si>
  <si>
    <t xml:space="preserve">Рассмотрение заявок и подведение итогов определения поставщика </t>
  </si>
  <si>
    <t xml:space="preserve">Заключение контракта </t>
  </si>
  <si>
    <t xml:space="preserve">Ведение претензионной работы </t>
  </si>
  <si>
    <t xml:space="preserve">Приемка товаров, работ, услуг </t>
  </si>
  <si>
    <t xml:space="preserve">Обеспечение оплаты по контрактам </t>
  </si>
  <si>
    <t>Размещение в ЕИС информации в соответствии с №44-ФЗ</t>
  </si>
  <si>
    <t>Исполнение бюджета и составление финансовой отчетности</t>
  </si>
  <si>
    <t>Ведение учета исполнения бюджета</t>
  </si>
  <si>
    <t>Формирование и изменение кассового плана</t>
  </si>
  <si>
    <t>Осуществление кассовых выплат</t>
  </si>
  <si>
    <t xml:space="preserve">Взаимодействие с ЦБУ по вопросам исполнения бюджета </t>
  </si>
  <si>
    <t>Взаимодействие с ЦБУ по вопросам ведения бюджетного (бухгалтерского) учета</t>
  </si>
  <si>
    <t>Составление финансовой отчетности</t>
  </si>
  <si>
    <t>Составление бухгалтерской отчетности</t>
  </si>
  <si>
    <t>Заместитель министра (Кузнецова Е.А.), Начальник отдела информационно-аналитической деятельности</t>
  </si>
  <si>
    <t>ВП.3.1. ИТ-обеспечение</t>
  </si>
  <si>
    <t>ВП.3.2. ГИС, информационные системы</t>
  </si>
  <si>
    <t>Сбор и оценка предложений по развитию информационных систем</t>
  </si>
  <si>
    <t xml:space="preserve">Запрос потребностей в доработке ИС у функциональных заказчиков </t>
  </si>
  <si>
    <t>Проработка с разработчиками возможности реализации</t>
  </si>
  <si>
    <t>Оценка стоимости доработок</t>
  </si>
  <si>
    <t>Разработка технического задания и контроль развития информационных систем</t>
  </si>
  <si>
    <t>не цифровой</t>
  </si>
  <si>
    <t xml:space="preserve">Формирование ТЗ </t>
  </si>
  <si>
    <t>Закупочные процедуры</t>
  </si>
  <si>
    <t>Тестирование доработок</t>
  </si>
  <si>
    <t>Актуализация документов на ИС</t>
  </si>
  <si>
    <t xml:space="preserve">Министр </t>
  </si>
  <si>
    <t xml:space="preserve">Экспертиза и подготовка к защите ИИ-проектов ОИГВ </t>
  </si>
  <si>
    <t>Рассмотрение предложенного РОИВ-ом ИИ решения в своей компетенции</t>
  </si>
  <si>
    <t>Участие в предзащите и защите ИИ-проекта, представленного РОИВ-ом</t>
  </si>
  <si>
    <t>Формирование и направление протокола закрытого Совета по ИИ</t>
  </si>
  <si>
    <t>Приказы по деятельности министерства (прием, отпуск, командировки, увольнение)</t>
  </si>
  <si>
    <t>Подготовка приказов по личному составу</t>
  </si>
  <si>
    <t>Подготовка приказов по основной деятельности</t>
  </si>
  <si>
    <t>Документы к расчету заработной платы и других выплат для сотрудников министерства</t>
  </si>
  <si>
    <t>Минцифры</t>
  </si>
  <si>
    <t>Подготовка штатного расписания министерства</t>
  </si>
  <si>
    <t>Подготовка документов о выплатах компенсационных и стимулирующих</t>
  </si>
  <si>
    <t>Заместитель начальника отдела информационно-аналитической деятельности</t>
  </si>
  <si>
    <t>Разработка мобилизационной документации министерства</t>
  </si>
  <si>
    <t>Проведение мобилизационных тренировок</t>
  </si>
  <si>
    <t>ГО и ЧС</t>
  </si>
  <si>
    <t>Разработка и актуализация документации по ГО и ЧС</t>
  </si>
  <si>
    <t>Организация и проведение обучения сотрудников министерства в области ГО и ЧС</t>
  </si>
  <si>
    <t>Проведение вводных инструктажей по ГО и ЧС</t>
  </si>
  <si>
    <t>Работа с инфоповодами</t>
  </si>
  <si>
    <t>Министерство цифрового развития и искусственного интеллекта Липецкой области</t>
  </si>
  <si>
    <t>Отработка чек-листа вывода услуги с ведомством инициатором</t>
  </si>
  <si>
    <t xml:space="preserve">Согласование формы с инициатором </t>
  </si>
  <si>
    <t>Согласование технических заданий на закупку ИТ-обеспечения и информационных систем для РОИВ</t>
  </si>
  <si>
    <t>Рассмотрение заявление на включение в реестр на соответствие требованиям НПА</t>
  </si>
  <si>
    <t>Реагирование на инциденты во взаимодействии с федеральными ИТ-системами</t>
  </si>
  <si>
    <t xml:space="preserve">Получение информации об инциденте </t>
  </si>
  <si>
    <t>Работа над устранением инцидента</t>
  </si>
  <si>
    <t>Анализ инцидентов и подготовка упреждающих мероприятий</t>
  </si>
  <si>
    <t>Заключение соглашений о реализации рег.проектов "Цифровые платформы", "Цифровое и государственное управление", "Отечественные решения"</t>
  </si>
  <si>
    <t>Работа в электронном бюджете по реализации Национального проекта "Экономика данных" региональных проектов ""Цифровые платформы", "Цифровое и государственное управление", "Отечественные решения"</t>
  </si>
  <si>
    <t>Формирование отчета об исполнении контрольных точек "Цифровые платформы", "Цифровое и государственное управление", "Отечественные решения"</t>
  </si>
  <si>
    <t>Формирование отчета о достижении показателей "Цифровые платформы", "Цифровое и государственное управление", "Отечественные решения"</t>
  </si>
  <si>
    <t>Актуализация данных по информационным системам ФГИС КИ</t>
  </si>
  <si>
    <t>ОП.СУБСИДИИ.</t>
  </si>
  <si>
    <t>ОП.1.4. Предоставление субсидий</t>
  </si>
  <si>
    <t>ОП. Субсидии.</t>
  </si>
  <si>
    <t>Взаимодействие с IT компаниями: спонсорство, ДПО для развития IT инфраструктуры в регионе</t>
  </si>
  <si>
    <t>Проведение IT Bootcamp для разработчиков</t>
  </si>
  <si>
    <t>Проведение ежегодного фестиваля ИТ-культуры</t>
  </si>
  <si>
    <t>Организация непрерывного процесса обучения госслужащих в правительственном кластере Школы 21</t>
  </si>
  <si>
    <t>Взаимодействие с учебными учреждениями в части обеспечения кадрового ресурса региона</t>
  </si>
  <si>
    <t>Проведение мероприятия "Урок цифры" для школьников</t>
  </si>
  <si>
    <t>Проведение мероприятия "Цифровой ликбез" для школьников</t>
  </si>
  <si>
    <t>Проведение демонстрационного экзамена "Технологии разработки Web-приложений" и "Компьютерные сети"</t>
  </si>
  <si>
    <t>Организация и текущее сопровождение деятельности Единой системы приема и обработки сообщений граждан</t>
  </si>
  <si>
    <t>Шапошникова Ирина Анатольевна - заместитель министра</t>
  </si>
  <si>
    <t xml:space="preserve">Кузнецова Елена Александровна - заместитель министра </t>
  </si>
  <si>
    <t>Конкурсы и мероприятия</t>
  </si>
  <si>
    <t>ВП.2.1. Управление финансами и ресурсами</t>
  </si>
  <si>
    <t>СУБС.ЮЛ</t>
  </si>
  <si>
    <t>Методологическая поддержка ОИГВ и ОМСУ в части ИТ-решений</t>
  </si>
  <si>
    <t>Организация сопровождения и устранения инцидентов на ключевых информационных системах</t>
  </si>
  <si>
    <t>ВП.4.6. Документы к расчету заработной платы и других выплат</t>
  </si>
  <si>
    <t>ВП.6.1. Мобилизационная работа</t>
  </si>
  <si>
    <t>ВП.6.2. ГО и ЧС</t>
  </si>
  <si>
    <t>ВП.7.1. Организация и проведение PR-мероприятий</t>
  </si>
  <si>
    <t>Организация и проведение PR-мероприятий</t>
  </si>
  <si>
    <t>ВП.7.2. Работа с инфоповодами</t>
  </si>
  <si>
    <t>Министерство внутренней политики (последние 4 столбика заполнены только 2 основных процесса(подпроцессы в них не заполнены))</t>
  </si>
  <si>
    <t xml:space="preserve">Министерство жилищно-коммунального хозяйства ( последние 7 столбов не раскрашены, ширина столбов неправильная, шапку тоже нужно отредактировать по общим параметрам, столбец статус процесса неправильно раскрашен) </t>
  </si>
  <si>
    <t>Министерство здравоохранения ( проверить ширину столбцов, выравнивание, почему весь столб статус процесса жёлтый?, роль министерства - нет выпадающего списка, вид процесса тоже, признак сквозного процесса, если раскрыть подпроцессы окрашено все непонятно как, проверить где должен быть жирный шрифт, а где обычный! ПЕРЕИМЕНОВАТЬ МИНИСТЕРСТВО НА МинЗдрав)</t>
  </si>
  <si>
    <t>Министерство информационной политики (последние 4 столбика заполнены только 2 основных процесса(подпроцессы в них не заполнены))</t>
  </si>
  <si>
    <t>Министерство культуры (проверить где должны быть жирные, а где обычные шрифты, дозаполнить последние столбцы)</t>
  </si>
  <si>
    <r>
      <rPr>
        <sz val="12"/>
        <color rgb="FF000000"/>
        <rFont val="Calibri"/>
        <family val="2"/>
        <charset val="204"/>
      </rPr>
      <t>Министерство молодежной политики ( сделать нормальные столбики M-S полностью их заполнить, проверить выравнивание по левому краю, проработать все выпадающие списки(они отсутствуют), проверить сквозной</t>
    </r>
    <r>
      <rPr>
        <sz val="12"/>
        <color rgb="FFFF0000"/>
        <rFont val="Calibri"/>
        <family val="2"/>
        <charset val="204"/>
      </rPr>
      <t>/внутрениий</t>
    </r>
    <r>
      <rPr>
        <sz val="12"/>
        <color rgb="FF000000"/>
        <rFont val="Calibri"/>
        <family val="2"/>
        <charset val="204"/>
      </rPr>
      <t>? )</t>
    </r>
  </si>
  <si>
    <t xml:space="preserve">Министерство промышленности, инвестиций и науки ( 9 последних столбов дозаполняются, потом нужно привести к единому цвету ) </t>
  </si>
  <si>
    <t>Министерство природных ресурсов и экологии (проверить жирные шрифты и обычные, цвета, данный реестр ещё заполняется, в столбце статус процесса проверить цвета)</t>
  </si>
  <si>
    <t>Министерство региональной безопасности (дозаполнить столбцы M-S, данные на входе выходе)</t>
  </si>
  <si>
    <t>Министерство сельского хозяйства (цвета статуса процессов?, ширина столбцов, проверить жирность шрифтов, дозаполнить последние столбцы, в типе процесса может быть только бумажны/безбумажный) отредактировать шапку)</t>
  </si>
  <si>
    <t xml:space="preserve">Министерство социальной политики ( не заполнены столбцы M-S) </t>
  </si>
  <si>
    <t>Министерство торговли и ценовой политики (выравнивание по левому верхнему краю проверить, отсутствуют выпадающие списки)</t>
  </si>
  <si>
    <t>Министерство транспорта и дорожного хозяйства (отсутствуют выпадающие списки, последние столбцы не заполнены)</t>
  </si>
  <si>
    <t xml:space="preserve">Министерство цифрового развития и искусственного интеллекта ( что с шапкой таблицы?, отсуствтвуют выпадающие списки, жирность шрафта неравномерно проставлена, проверить) есть только бумажный и безбумажный </t>
  </si>
  <si>
    <t>Управление ветеринарии (разукрасить последние столбцы до конца)</t>
  </si>
  <si>
    <t>Управление делами ( может быть всё должно быть жирным шрифтом? Если нет никаких подроцессов)</t>
  </si>
  <si>
    <t>Управление ЗАГС и архивов (проверить все стобцы, где должны быть выпадающие списки)</t>
  </si>
  <si>
    <t>Управление по охране объектов культурного наследия (отсутствуют выпадающие списки, дозаполнить последние столбцы)</t>
  </si>
  <si>
    <t>Управление по охране, использованию объектов животного мира и водных биологических ресурсов (шрифт другой, проверить выпадающие списки, жирность)</t>
  </si>
  <si>
    <t xml:space="preserve">Министерство физической культуры и спорта (проверить выпадающие списки) </t>
  </si>
  <si>
    <t xml:space="preserve">Государственная жилищная инспекция (проверить жирный и нежирный шрифт, сделать выпадающие списки, выравнивание) </t>
  </si>
  <si>
    <t>Госстройнадзор (не везде есть выпадающие списки, проверить жирность шрифтов)</t>
  </si>
  <si>
    <t xml:space="preserve">Управление гос. службой и кадровой работой (почему в статусе процесса весь стоблец жёлтый?, сделать выпадающие списки, проверить жирность, выравнивание) </t>
  </si>
  <si>
    <t>Предоставление государственных услуг</t>
  </si>
  <si>
    <t>Государственный контроль (надзор)</t>
  </si>
  <si>
    <t>Организация отношений с внутренним клиентом</t>
  </si>
  <si>
    <t>Иные функции (обеспечения деятельности органа власти)</t>
  </si>
  <si>
    <t>Административно-хозяйственная деятельность</t>
  </si>
  <si>
    <t>цифровой/не цифровой</t>
  </si>
  <si>
    <r>
      <rPr>
        <b/>
        <sz val="14"/>
        <color theme="1"/>
        <rFont val="Calibri"/>
        <family val="2"/>
        <charset val="204"/>
        <scheme val="minor"/>
      </rPr>
      <t>Процесс</t>
    </r>
    <r>
      <rPr>
        <sz val="14"/>
        <color theme="1"/>
        <rFont val="Calibri"/>
        <family val="2"/>
        <charset val="204"/>
        <scheme val="minor"/>
      </rPr>
      <t xml:space="preserve"> </t>
    </r>
  </si>
  <si>
    <r>
      <rPr>
        <b/>
        <sz val="14"/>
        <color theme="1"/>
        <rFont val="Calibri"/>
        <family val="2"/>
        <charset val="204"/>
        <scheme val="minor"/>
      </rPr>
      <t>Вспомогательные процессы</t>
    </r>
    <r>
      <rPr>
        <sz val="14"/>
        <color theme="1"/>
        <rFont val="Calibri"/>
        <family val="2"/>
        <charset val="204"/>
        <scheme val="minor"/>
      </rPr>
      <t xml:space="preserve"> </t>
    </r>
  </si>
  <si>
    <r>
      <rPr>
        <b/>
        <sz val="14"/>
        <color theme="1"/>
        <rFont val="Calibri"/>
        <family val="2"/>
        <charset val="204"/>
        <scheme val="minor"/>
      </rPr>
      <t>Подпроцесс</t>
    </r>
    <r>
      <rPr>
        <sz val="14"/>
        <color theme="1"/>
        <rFont val="Calibri"/>
        <family val="2"/>
        <charset val="204"/>
        <scheme val="minor"/>
      </rPr>
      <t xml:space="preserve"> </t>
    </r>
  </si>
  <si>
    <r>
      <rPr>
        <b/>
        <sz val="14"/>
        <color theme="1"/>
        <rFont val="Calibri"/>
        <family val="2"/>
        <charset val="204"/>
        <scheme val="minor"/>
      </rPr>
      <t>ПРОЦЕСС</t>
    </r>
    <r>
      <rPr>
        <sz val="14"/>
        <color theme="1"/>
        <rFont val="Calibri"/>
        <family val="2"/>
        <charset val="204"/>
        <scheme val="minor"/>
      </rPr>
      <t xml:space="preserve"> — это серия последовательных взаимосвязанных операций (действий), которые направлены на достижение определенного результата, представляющего ценность для потребителя.</t>
    </r>
  </si>
  <si>
    <r>
      <t xml:space="preserve">Характеристики процесса:  
✅ Непрерывность – процесс выполняется постоянно, что позволяет поддерживать стабильный уровень работы и обеспечивать регулярное выполнение задач. 
✅ Стабильность – чётко определённые шаги и правила помогают избежать ошибок и обеспечивают предсказуемость результатов  
✅ Цель – поддержание работы, а не разовое достижение.  
✅ </t>
    </r>
    <r>
      <rPr>
        <b/>
        <sz val="14"/>
        <color theme="1"/>
        <rFont val="Calibri"/>
        <family val="2"/>
        <charset val="204"/>
        <scheme val="minor"/>
      </rPr>
      <t>Примеры</t>
    </r>
    <r>
      <rPr>
        <sz val="14"/>
        <color theme="1"/>
        <rFont val="Calibri"/>
        <family val="2"/>
        <charset val="204"/>
        <scheme val="minor"/>
      </rPr>
      <t xml:space="preserve">: бухгалтерский учёт, производство на заводе, техподдержка. </t>
    </r>
  </si>
  <si>
    <r>
      <rPr>
        <b/>
        <sz val="14"/>
        <color theme="1"/>
        <rFont val="Calibri"/>
        <family val="2"/>
        <charset val="204"/>
        <scheme val="minor"/>
      </rPr>
      <t xml:space="preserve">ПРОЕКТ </t>
    </r>
    <r>
      <rPr>
        <sz val="14"/>
        <color theme="1"/>
        <rFont val="Calibri"/>
        <family val="2"/>
        <charset val="204"/>
        <scheme val="minor"/>
      </rPr>
      <t xml:space="preserve">— это целенаправленная деятельность с четкими границами, направленная на достижение конкретного результата.  </t>
    </r>
  </si>
  <si>
    <r>
      <t xml:space="preserve"> Характеристики проекта:  
⏳ Ограничен по времени – имеет четкое начало и конец (дата старта и завершения).  
🎯 Уникальность – создает новый продукт, услугу или изменение, которого раньше не было.  
Целевая направленность - четко определенные цели и задачи (SMART - критерии)
✅ </t>
    </r>
    <r>
      <rPr>
        <b/>
        <sz val="14"/>
        <color theme="1"/>
        <rFont val="Calibri"/>
        <family val="2"/>
        <charset val="204"/>
        <scheme val="minor"/>
      </rPr>
      <t>Примеры:</t>
    </r>
    <r>
      <rPr>
        <sz val="14"/>
        <color theme="1"/>
        <rFont val="Calibri"/>
        <family val="2"/>
        <charset val="204"/>
        <scheme val="minor"/>
      </rPr>
      <t xml:space="preserve"> запуск нового продукта, строительство дома, внедрение CRM.  
</t>
    </r>
  </si>
  <si>
    <r>
      <rPr>
        <b/>
        <sz val="14"/>
        <color theme="1"/>
        <rFont val="Calibri"/>
        <family val="2"/>
        <charset val="204"/>
        <scheme val="minor"/>
      </rPr>
      <t>ПРОЦЕСС:</t>
    </r>
    <r>
      <rPr>
        <sz val="14"/>
        <color theme="1"/>
        <rFont val="Calibri"/>
        <family val="2"/>
        <charset val="204"/>
        <scheme val="minor"/>
      </rPr>
      <t xml:space="preserve"> Ежемесячная выплата зарплаты сотрудникам.  </t>
    </r>
  </si>
  <si>
    <r>
      <rPr>
        <b/>
        <sz val="14"/>
        <color theme="1"/>
        <rFont val="Calibri"/>
        <family val="2"/>
        <charset val="204"/>
        <scheme val="minor"/>
      </rPr>
      <t>ПРОЕКТ:</t>
    </r>
    <r>
      <rPr>
        <sz val="14"/>
        <color theme="1"/>
        <rFont val="Calibri"/>
        <family val="2"/>
        <charset val="204"/>
        <scheme val="minor"/>
      </rPr>
      <t xml:space="preserve"> Разработка новой системы расчёта зарплат.  </t>
    </r>
  </si>
  <si>
    <t>Государственная услуга ОГВ субъекта РФ - деятельность по реализации функций исполнительного органа государственной власти субъекта РФ при осуществлении отдельных государственных полномочий, переданных федеральными законами и законами субъектов РФ, которая осуществляется по запросам заявителей в пределах установленных НПА РФ и НПА субъектов РФ полномочий органов, предоставляющих государственные услуги.</t>
  </si>
  <si>
    <t>Группа процессов включает в себя комплекс действий, по предоставлению финансовой поддержки внешнему клиенту (физ.лица и организации не входящие в структуру госоргана) в виде субсидий (безвозмездные выплаты), грантов (целевые средства на проекты), компенсаций (возмещение части расходов), для решения социально-экономических задач (G2С, G2B).</t>
  </si>
  <si>
    <t>Контрольно-надзорная деятельность - это выполнение функций государства посредством действия всех разновидностей государственного надзора и контроля за исполнением требований законодательства, прописанного в документах, регулирующих деятельность министерства.</t>
  </si>
  <si>
    <t>Группа процессов включает в себя действия, связанные с получением, обработкой, согласованием, мониторингом, систематизацией и представлением данных в виде отчетных документов (включая запросы от вышестоящих организаций)
Есть отчеты, которые делаются в рамках процессов, мы их относим в подпроцессы, но кодируем ОП.ОТЧЕТЫ. (цвет оставляем основного процесса), а отдельно выносим только те отчеты, которые не привязаны ни к какому процессу (например - отчет о выполнении мероприятий по субсидии мы относим к процессу субсидии, а отчет Губернатора мы включаем в группу ОП.7. Сбор и формирование отчетов, мониторинг и аналитика.</t>
  </si>
  <si>
    <t>Группа процессов включает в себя комплекс действий, направленных на планирование, подготовку, реализацию и подведение итогов различных Советов, Штабов, комиссий мероприятий, форумов.</t>
  </si>
  <si>
    <t>прошёл реинжиниринг</t>
  </si>
  <si>
    <t>ликвидирован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</si>
</sst>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 #,##0.00_-;_-* &quot;-&quot;??_-;_-@_-"/>
    <numFmt numFmtId="164" formatCode="_-* #\ ##0.00_-;\-* #\ ##0.00_-;_-* &quot;-&quot;??_-;_-@_-"/>
    <numFmt numFmtId="165" formatCode="dd\.mm\.yyyy"/>
    <numFmt numFmtId="166" formatCode="#\ ??/??"/>
    <numFmt numFmtId="167" formatCode="#\ ???/???"/>
  </numFmts>
  <fonts count="96">
    <font>
      <sz val="11"/>
      <color theme="1"/>
      <name val="Calibri"/>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indexed="2"/>
      <name val="Calibri"/>
      <family val="2"/>
      <charset val="204"/>
    </font>
    <font>
      <sz val="11"/>
      <color theme="1"/>
      <name val="Calibri"/>
      <family val="2"/>
      <charset val="204"/>
    </font>
    <font>
      <sz val="11"/>
      <name val="Calibri"/>
      <family val="2"/>
      <charset val="204"/>
    </font>
    <font>
      <b/>
      <sz val="12"/>
      <color theme="1"/>
      <name val="Calibri"/>
      <family val="2"/>
      <charset val="204"/>
      <scheme val="minor"/>
    </font>
    <font>
      <b/>
      <sz val="12"/>
      <color rgb="FF000000"/>
      <name val="Calibri"/>
      <family val="2"/>
      <charset val="204"/>
    </font>
    <font>
      <sz val="12"/>
      <color theme="1"/>
      <name val="Calibri"/>
      <family val="2"/>
      <charset val="204"/>
      <scheme val="minor"/>
    </font>
    <font>
      <sz val="12"/>
      <color rgb="FF000000"/>
      <name val="Calibri"/>
      <family val="2"/>
      <charset val="204"/>
    </font>
    <font>
      <sz val="11"/>
      <color rgb="FF000000"/>
      <name val="Calibri"/>
      <family val="2"/>
      <charset val="204"/>
    </font>
    <font>
      <sz val="11"/>
      <color theme="1"/>
      <name val="Calibri"/>
      <family val="2"/>
      <charset val="204"/>
      <scheme val="minor"/>
    </font>
    <font>
      <b/>
      <sz val="16"/>
      <color theme="0"/>
      <name val="Calibri"/>
      <family val="2"/>
      <charset val="204"/>
      <scheme val="minor"/>
    </font>
    <font>
      <b/>
      <sz val="12"/>
      <color theme="0"/>
      <name val="Calibri"/>
      <family val="2"/>
      <charset val="204"/>
      <scheme val="minor"/>
    </font>
    <font>
      <b/>
      <sz val="11"/>
      <color theme="1"/>
      <name val="Calibri"/>
      <family val="2"/>
      <charset val="204"/>
      <scheme val="minor"/>
    </font>
    <font>
      <sz val="11"/>
      <name val="Calibri"/>
      <family val="2"/>
      <charset val="204"/>
      <scheme val="minor"/>
    </font>
    <font>
      <sz val="12"/>
      <name val="Calibri"/>
      <family val="2"/>
      <charset val="204"/>
      <scheme val="minor"/>
    </font>
    <font>
      <b/>
      <sz val="11"/>
      <color rgb="FFFFFFFF"/>
      <name val="Calibri"/>
      <family val="2"/>
      <charset val="204"/>
      <scheme val="minor"/>
    </font>
    <font>
      <u/>
      <sz val="11"/>
      <color theme="10"/>
      <name val="Calibri"/>
      <family val="2"/>
      <charset val="204"/>
      <scheme val="minor"/>
    </font>
    <font>
      <sz val="11"/>
      <color theme="1"/>
      <name val="Calibri"/>
      <family val="2"/>
      <charset val="204"/>
      <scheme val="minor"/>
    </font>
    <font>
      <b/>
      <sz val="12"/>
      <name val="Calibri"/>
      <family val="2"/>
      <charset val="204"/>
      <scheme val="minor"/>
    </font>
    <font>
      <sz val="12"/>
      <color theme="1"/>
      <name val="Calibri"/>
      <family val="2"/>
      <charset val="204"/>
    </font>
    <font>
      <sz val="12"/>
      <name val="Calibri"/>
      <family val="2"/>
      <charset val="204"/>
    </font>
    <font>
      <sz val="12"/>
      <color rgb="FFFF0000"/>
      <name val="Calibri"/>
      <family val="2"/>
      <charset val="204"/>
      <scheme val="minor"/>
    </font>
    <font>
      <b/>
      <sz val="12"/>
      <color rgb="FFFF0000"/>
      <name val="Calibri"/>
      <family val="2"/>
      <charset val="204"/>
      <scheme val="minor"/>
    </font>
    <font>
      <sz val="12"/>
      <color rgb="FFFF0000"/>
      <name val="Calibri"/>
      <family val="2"/>
      <charset val="204"/>
    </font>
    <font>
      <sz val="12"/>
      <color theme="0"/>
      <name val="Calibri"/>
      <family val="2"/>
      <charset val="204"/>
      <scheme val="minor"/>
    </font>
    <font>
      <sz val="11"/>
      <color theme="1"/>
      <name val="Calibri"/>
      <family val="2"/>
      <charset val="204"/>
    </font>
    <font>
      <sz val="11"/>
      <color theme="1"/>
      <name val="Calibri"/>
      <family val="2"/>
      <charset val="204"/>
      <scheme val="minor"/>
    </font>
    <font>
      <b/>
      <sz val="14"/>
      <color theme="1"/>
      <name val="Calibri"/>
      <family val="2"/>
      <charset val="204"/>
      <scheme val="minor"/>
    </font>
    <font>
      <sz val="14"/>
      <color theme="1"/>
      <name val="Calibri"/>
      <family val="2"/>
      <charset val="204"/>
      <scheme val="minor"/>
    </font>
    <font>
      <b/>
      <sz val="12"/>
      <color rgb="FF000000"/>
      <name val="Calibri"/>
      <family val="2"/>
      <charset val="204"/>
      <scheme val="minor"/>
    </font>
    <font>
      <sz val="12"/>
      <color rgb="FF000000"/>
      <name val="Calibri"/>
      <family val="2"/>
      <charset val="204"/>
      <scheme val="minor"/>
    </font>
    <font>
      <sz val="11"/>
      <color rgb="FF333333"/>
      <name val="Arial"/>
      <family val="2"/>
      <charset val="204"/>
    </font>
    <font>
      <sz val="16"/>
      <color theme="1"/>
      <name val="Calibri"/>
      <family val="2"/>
      <charset val="204"/>
      <scheme val="minor"/>
    </font>
    <font>
      <sz val="20"/>
      <color theme="1"/>
      <name val="Calibri"/>
      <family val="2"/>
      <charset val="204"/>
      <scheme val="minor"/>
    </font>
    <font>
      <sz val="14"/>
      <name val="Calibri"/>
      <family val="2"/>
      <charset val="204"/>
      <scheme val="minor"/>
    </font>
    <font>
      <sz val="8"/>
      <color rgb="FF004400"/>
      <name val="Arial"/>
      <family val="2"/>
      <charset val="204"/>
    </font>
    <font>
      <sz val="12"/>
      <name val="Tempora LGC Uni"/>
      <charset val="1"/>
    </font>
    <font>
      <sz val="11"/>
      <color theme="1"/>
      <name val="Aptos Narrow"/>
      <family val="2"/>
    </font>
    <font>
      <b/>
      <sz val="11"/>
      <color theme="0"/>
      <name val="Calibri"/>
      <family val="2"/>
      <charset val="204"/>
      <scheme val="minor"/>
    </font>
    <font>
      <sz val="20"/>
      <color rgb="FFC00000"/>
      <name val="Calibri"/>
      <family val="2"/>
      <charset val="204"/>
      <scheme val="minor"/>
    </font>
    <font>
      <b/>
      <sz val="9"/>
      <name val="Tahoma"/>
      <family val="2"/>
      <charset val="204"/>
    </font>
    <font>
      <sz val="9"/>
      <name val="Tahoma"/>
      <family val="2"/>
      <charset val="204"/>
    </font>
    <font>
      <sz val="10"/>
      <name val="Open Sans"/>
      <family val="2"/>
      <charset val="204"/>
    </font>
    <font>
      <sz val="11"/>
      <color theme="1"/>
      <name val="Calibri"/>
      <family val="2"/>
      <charset val="204"/>
    </font>
    <font>
      <sz val="11"/>
      <name val="Calibri"/>
      <family val="2"/>
      <charset val="204"/>
      <scheme val="minor"/>
    </font>
    <font>
      <sz val="12"/>
      <name val="Calibri"/>
      <family val="2"/>
      <charset val="204"/>
    </font>
    <font>
      <sz val="11"/>
      <name val="Calibri"/>
      <family val="2"/>
      <charset val="204"/>
    </font>
    <font>
      <sz val="11"/>
      <color rgb="FF000000"/>
      <name val="Calibri"/>
      <family val="2"/>
      <charset val="204"/>
    </font>
    <font>
      <u/>
      <sz val="11"/>
      <color theme="10"/>
      <name val="Calibri"/>
      <family val="2"/>
      <charset val="204"/>
      <scheme val="minor"/>
    </font>
    <font>
      <sz val="11"/>
      <color theme="1"/>
      <name val="Calibri"/>
      <family val="2"/>
      <charset val="204"/>
      <scheme val="minor"/>
    </font>
    <font>
      <u/>
      <sz val="11"/>
      <color theme="10"/>
      <name val="Calibri"/>
      <family val="2"/>
      <charset val="204"/>
      <scheme val="minor"/>
    </font>
    <font>
      <sz val="11"/>
      <color indexed="64"/>
      <name val="Calibri"/>
      <family val="2"/>
      <charset val="204"/>
    </font>
    <font>
      <sz val="11"/>
      <color theme="1"/>
      <name val="Calibri"/>
      <family val="2"/>
      <charset val="204"/>
    </font>
    <font>
      <u/>
      <sz val="11"/>
      <color theme="10"/>
      <name val="Calibri"/>
      <family val="2"/>
      <charset val="204"/>
    </font>
    <font>
      <sz val="12"/>
      <name val="Calibri"/>
      <family val="2"/>
      <charset val="204"/>
    </font>
    <font>
      <sz val="11"/>
      <color rgb="FF000000"/>
      <name val="Calibri"/>
      <family val="2"/>
      <charset val="204"/>
    </font>
    <font>
      <sz val="11"/>
      <color theme="1"/>
      <name val="Calibri"/>
      <family val="2"/>
      <charset val="204"/>
    </font>
    <font>
      <sz val="14"/>
      <color theme="1"/>
      <name val="Calibri"/>
      <family val="2"/>
      <charset val="204"/>
    </font>
    <font>
      <b/>
      <i/>
      <sz val="14"/>
      <color theme="1"/>
      <name val="Calibri"/>
      <family val="2"/>
      <charset val="204"/>
      <scheme val="minor"/>
    </font>
    <font>
      <sz val="14"/>
      <color rgb="FF000000"/>
      <name val="Segoe UI"/>
      <family val="2"/>
      <charset val="204"/>
    </font>
    <font>
      <sz val="14"/>
      <color rgb="FF000000"/>
      <name val="Calibri"/>
      <family val="2"/>
      <charset val="204"/>
    </font>
    <font>
      <u/>
      <sz val="14"/>
      <color theme="10"/>
      <name val="Calibri"/>
      <family val="2"/>
      <charset val="204"/>
      <scheme val="minor"/>
    </font>
    <font>
      <u/>
      <sz val="14"/>
      <color rgb="FF800080"/>
      <name val="Calibri"/>
      <family val="2"/>
      <charset val="204"/>
      <scheme val="minor"/>
    </font>
    <font>
      <b/>
      <sz val="16"/>
      <color theme="1"/>
      <name val="Calibri"/>
      <family val="2"/>
      <charset val="204"/>
      <scheme val="minor"/>
    </font>
    <font>
      <b/>
      <sz val="16"/>
      <color rgb="FF000000"/>
      <name val="Calibri"/>
      <family val="2"/>
      <charset val="204"/>
    </font>
    <font>
      <sz val="11"/>
      <color theme="1"/>
      <name val="Calibri"/>
      <family val="2"/>
      <charset val="204"/>
      <scheme val="minor"/>
    </font>
    <font>
      <sz val="11"/>
      <color rgb="FF000000"/>
      <name val="Calibri"/>
      <family val="2"/>
      <charset val="204"/>
    </font>
    <font>
      <sz val="11"/>
      <color theme="1"/>
      <name val="Calibri"/>
      <family val="2"/>
      <charset val="204"/>
    </font>
    <font>
      <sz val="11"/>
      <color theme="1"/>
      <name val="Calibri"/>
      <family val="2"/>
      <charset val="204"/>
    </font>
    <font>
      <sz val="11"/>
      <color theme="1"/>
      <name val="Calibri"/>
      <family val="2"/>
      <charset val="204"/>
      <scheme val="minor"/>
    </font>
    <font>
      <sz val="12"/>
      <name val="Calibri"/>
      <family val="2"/>
      <charset val="204"/>
    </font>
    <font>
      <sz val="11"/>
      <color theme="1"/>
      <name val="Calibri"/>
      <family val="2"/>
      <charset val="204"/>
    </font>
    <font>
      <sz val="12"/>
      <name val="Calibri"/>
      <family val="2"/>
      <charset val="204"/>
    </font>
    <font>
      <sz val="11"/>
      <color theme="1"/>
      <name val="Calibri"/>
      <family val="2"/>
      <charset val="204"/>
      <scheme val="minor"/>
    </font>
    <font>
      <sz val="11"/>
      <name val="Calibri"/>
      <family val="2"/>
      <charset val="204"/>
    </font>
    <font>
      <u/>
      <sz val="11"/>
      <color theme="10"/>
      <name val="Calibri"/>
      <family val="2"/>
      <charset val="204"/>
      <scheme val="minor"/>
    </font>
    <font>
      <sz val="11"/>
      <color theme="1"/>
      <name val="Calibri"/>
      <family val="2"/>
      <charset val="204"/>
    </font>
    <font>
      <sz val="12"/>
      <name val="Calibri"/>
      <family val="2"/>
      <charset val="204"/>
    </font>
    <font>
      <u/>
      <sz val="16"/>
      <color theme="10"/>
      <name val="Calibri"/>
      <family val="2"/>
      <charset val="204"/>
      <scheme val="minor"/>
    </font>
    <font>
      <sz val="11"/>
      <color theme="1"/>
      <name val="Calibri"/>
      <family val="2"/>
      <charset val="204"/>
    </font>
    <font>
      <sz val="12"/>
      <name val="Calibri"/>
      <family val="2"/>
      <charset val="204"/>
    </font>
    <font>
      <sz val="11"/>
      <name val="Calibri"/>
      <family val="2"/>
      <charset val="204"/>
      <scheme val="minor"/>
    </font>
    <font>
      <sz val="9"/>
      <color rgb="FF000000"/>
      <name val="Tahoma"/>
      <family val="2"/>
      <charset val="204"/>
    </font>
  </fonts>
  <fills count="75">
    <fill>
      <patternFill patternType="none"/>
    </fill>
    <fill>
      <patternFill patternType="gray125"/>
    </fill>
    <fill>
      <patternFill patternType="solid">
        <fgColor theme="0"/>
        <bgColor indexed="64"/>
      </patternFill>
    </fill>
    <fill>
      <patternFill patternType="solid">
        <fgColor indexed="21"/>
        <bgColor indexed="21"/>
      </patternFill>
    </fill>
    <fill>
      <patternFill patternType="solid">
        <fgColor rgb="FFE1FFE1"/>
        <bgColor rgb="FFE1FFE1"/>
      </patternFill>
    </fill>
    <fill>
      <patternFill patternType="solid">
        <fgColor rgb="FF008080"/>
        <bgColor indexed="64"/>
      </patternFill>
    </fill>
    <fill>
      <patternFill patternType="solid">
        <fgColor rgb="FFA9D08E"/>
        <bgColor indexed="64"/>
      </patternFill>
    </fill>
    <fill>
      <patternFill patternType="solid">
        <fgColor theme="9" tint="0.39982299264503923"/>
        <bgColor indexed="64"/>
      </patternFill>
    </fill>
    <fill>
      <patternFill patternType="solid">
        <fgColor rgb="FFFFFF00"/>
        <bgColor indexed="64"/>
      </patternFill>
    </fill>
    <fill>
      <patternFill patternType="solid">
        <fgColor theme="9"/>
        <bgColor indexed="64"/>
      </patternFill>
    </fill>
    <fill>
      <patternFill patternType="solid">
        <fgColor theme="9" tint="0.59999389629810485"/>
        <bgColor indexed="64"/>
      </patternFill>
    </fill>
    <fill>
      <patternFill patternType="solid">
        <fgColor theme="0"/>
        <bgColor theme="0"/>
      </patternFill>
    </fill>
    <fill>
      <patternFill patternType="solid">
        <fgColor indexed="65"/>
        <bgColor indexed="64"/>
      </patternFill>
    </fill>
    <fill>
      <patternFill patternType="solid">
        <fgColor rgb="FFBDD7EE"/>
        <bgColor indexed="64"/>
      </patternFill>
    </fill>
    <fill>
      <patternFill patternType="solid">
        <fgColor theme="4" tint="0.59999389629810485"/>
        <bgColor indexed="64"/>
      </patternFill>
    </fill>
    <fill>
      <patternFill patternType="solid">
        <fgColor rgb="FFFFE5E5"/>
        <bgColor indexed="64"/>
      </patternFill>
    </fill>
    <fill>
      <patternFill patternType="solid">
        <fgColor rgb="FFCCFFFF"/>
        <bgColor indexed="64"/>
      </patternFill>
    </fill>
    <fill>
      <patternFill patternType="solid">
        <fgColor rgb="FFCCFFFF"/>
        <bgColor rgb="FF008080"/>
      </patternFill>
    </fill>
    <fill>
      <patternFill patternType="solid">
        <fgColor rgb="FFE1E1FF"/>
        <bgColor indexed="64"/>
      </patternFill>
    </fill>
    <fill>
      <patternFill patternType="solid">
        <fgColor theme="0" tint="-0.249977111117893"/>
        <bgColor indexed="64"/>
      </patternFill>
    </fill>
    <fill>
      <patternFill patternType="solid">
        <fgColor theme="0" tint="-0.1498458815271462"/>
        <bgColor indexed="64"/>
      </patternFill>
    </fill>
    <fill>
      <patternFill patternType="solid">
        <fgColor rgb="FFD9D9D9"/>
        <bgColor indexed="64"/>
      </patternFill>
    </fill>
    <fill>
      <patternFill patternType="solid">
        <fgColor theme="0"/>
        <bgColor rgb="FFF2F2F2"/>
      </patternFill>
    </fill>
    <fill>
      <patternFill patternType="solid">
        <fgColor rgb="FFFFE5E5"/>
        <bgColor rgb="FFF2F2F2"/>
      </patternFill>
    </fill>
    <fill>
      <patternFill patternType="solid">
        <fgColor theme="0" tint="-4.9989318521683403E-2"/>
        <bgColor indexed="64"/>
      </patternFill>
    </fill>
    <fill>
      <patternFill patternType="solid">
        <fgColor rgb="FFFFE5E5"/>
        <bgColor rgb="FFFFE5E5"/>
      </patternFill>
    </fill>
    <fill>
      <patternFill patternType="solid">
        <fgColor rgb="FFFFE5E5"/>
        <bgColor rgb="FFE2F0D9"/>
      </patternFill>
    </fill>
    <fill>
      <patternFill patternType="solid">
        <fgColor theme="9" tint="0.39970091860713525"/>
        <bgColor indexed="64"/>
      </patternFill>
    </fill>
    <fill>
      <patternFill patternType="solid">
        <fgColor theme="9" tint="0.39985351115451523"/>
        <bgColor indexed="64"/>
      </patternFill>
    </fill>
    <fill>
      <patternFill patternType="solid">
        <fgColor rgb="FFE1FFE1"/>
        <bgColor indexed="64"/>
      </patternFill>
    </fill>
    <fill>
      <patternFill patternType="solid">
        <fgColor rgb="FFE1E1FF"/>
        <bgColor rgb="FFD9D9D9"/>
      </patternFill>
    </fill>
    <fill>
      <patternFill patternType="solid">
        <fgColor rgb="FFFFE5E5"/>
        <bgColor rgb="FFFBE5D6"/>
      </patternFill>
    </fill>
    <fill>
      <patternFill patternType="solid">
        <fgColor rgb="FFE1FFE1"/>
        <bgColor rgb="FFE2F0D9"/>
      </patternFill>
    </fill>
    <fill>
      <patternFill patternType="solid">
        <fgColor rgb="FFFFFF00"/>
        <bgColor rgb="FFC5E0B4"/>
      </patternFill>
    </fill>
    <fill>
      <patternFill patternType="solid">
        <fgColor theme="9" tint="0.39967040009765925"/>
        <bgColor indexed="64"/>
      </patternFill>
    </fill>
    <fill>
      <patternFill patternType="solid">
        <fgColor theme="0" tint="-0.14978484450819421"/>
        <bgColor indexed="64"/>
      </patternFill>
    </fill>
    <fill>
      <patternFill patternType="solid">
        <fgColor theme="9" tint="0.59978026673177287"/>
        <bgColor rgb="FFD9D9D9"/>
      </patternFill>
    </fill>
    <fill>
      <patternFill patternType="solid">
        <fgColor theme="4" tint="0.59978026673177287"/>
        <bgColor rgb="FFCCCCFF"/>
      </patternFill>
    </fill>
    <fill>
      <patternFill patternType="solid">
        <fgColor theme="0" tint="-4.9989318521683403E-2"/>
        <bgColor rgb="FFE2F0D9"/>
      </patternFill>
    </fill>
    <fill>
      <patternFill patternType="solid">
        <fgColor rgb="FFFFFF00"/>
        <bgColor rgb="FFCCCCFF"/>
      </patternFill>
    </fill>
    <fill>
      <patternFill patternType="solid">
        <fgColor rgb="FFCCCCFF"/>
        <bgColor indexed="64"/>
      </patternFill>
    </fill>
    <fill>
      <patternFill patternType="solid">
        <fgColor theme="5" tint="0.79976805932798245"/>
        <bgColor rgb="FFFFE5E5"/>
      </patternFill>
    </fill>
    <fill>
      <patternFill patternType="solid">
        <fgColor theme="9" tint="0.39967040009765925"/>
        <bgColor rgb="FFC5E0B4"/>
      </patternFill>
    </fill>
    <fill>
      <patternFill patternType="solid">
        <fgColor theme="9" tint="0.39985351115451523"/>
        <bgColor rgb="FFD9D9D9"/>
      </patternFill>
    </fill>
    <fill>
      <patternFill patternType="solid">
        <fgColor rgb="FFA8CF8D"/>
        <bgColor rgb="FFC5E0B4"/>
      </patternFill>
    </fill>
    <fill>
      <patternFill patternType="solid">
        <fgColor theme="9" tint="0.39985351115451523"/>
        <bgColor rgb="FFF2F2F2"/>
      </patternFill>
    </fill>
    <fill>
      <patternFill patternType="solid">
        <fgColor theme="9" tint="0.39985351115451523"/>
        <bgColor rgb="FFE2F0D9"/>
      </patternFill>
    </fill>
    <fill>
      <patternFill patternType="solid">
        <fgColor theme="9" tint="0.39985351115451523"/>
        <bgColor rgb="FFCCCCFF"/>
      </patternFill>
    </fill>
    <fill>
      <patternFill patternType="solid">
        <fgColor rgb="FFA8CF8D"/>
        <bgColor rgb="FFD9D9D9"/>
      </patternFill>
    </fill>
    <fill>
      <patternFill patternType="solid">
        <fgColor rgb="FFA8CF8D"/>
        <bgColor rgb="FFCCCCFF"/>
      </patternFill>
    </fill>
    <fill>
      <patternFill patternType="solid">
        <fgColor theme="9" tint="0.59999389629810485"/>
        <bgColor rgb="FFC5E0B4"/>
      </patternFill>
    </fill>
    <fill>
      <patternFill patternType="solid">
        <fgColor theme="9" tint="0.59999389629810485"/>
        <bgColor rgb="FFD9D9D9"/>
      </patternFill>
    </fill>
    <fill>
      <patternFill patternType="solid">
        <fgColor theme="9" tint="0.39985351115451523"/>
        <bgColor rgb="FFC5E0B4"/>
      </patternFill>
    </fill>
    <fill>
      <patternFill patternType="solid">
        <fgColor theme="4" tint="0.59999389629810485"/>
        <bgColor rgb="FFD9D9D9"/>
      </patternFill>
    </fill>
    <fill>
      <patternFill patternType="solid">
        <fgColor theme="4" tint="0.59999389629810485"/>
        <bgColor rgb="FFCCCCFF"/>
      </patternFill>
    </fill>
    <fill>
      <patternFill patternType="solid">
        <fgColor rgb="FFE7E7FF"/>
        <bgColor indexed="64"/>
      </patternFill>
    </fill>
    <fill>
      <patternFill patternType="solid">
        <fgColor rgb="FFE1E1FF"/>
        <bgColor rgb="FFFBE5D6"/>
      </patternFill>
    </fill>
    <fill>
      <patternFill patternType="solid">
        <fgColor theme="0" tint="-0.249977111117893"/>
        <bgColor rgb="FFBDD7EE"/>
      </patternFill>
    </fill>
    <fill>
      <patternFill patternType="solid">
        <fgColor theme="0" tint="-0.249977111117893"/>
        <bgColor rgb="FFB4C7E7"/>
      </patternFill>
    </fill>
    <fill>
      <patternFill patternType="solid">
        <fgColor theme="6" tint="0.39985351115451523"/>
        <bgColor indexed="64"/>
      </patternFill>
    </fill>
    <fill>
      <patternFill patternType="solid">
        <fgColor theme="6" tint="0.39985351115451523"/>
        <bgColor rgb="FFBDD7EE"/>
      </patternFill>
    </fill>
    <fill>
      <patternFill patternType="solid">
        <fgColor theme="6" tint="0.39985351115451523"/>
        <bgColor rgb="FFE1E1FF"/>
      </patternFill>
    </fill>
    <fill>
      <patternFill patternType="solid">
        <fgColor theme="0" tint="-4.9989318521683403E-2"/>
        <bgColor rgb="FFBDD7EE"/>
      </patternFill>
    </fill>
    <fill>
      <patternFill patternType="solid">
        <fgColor theme="6" tint="0.79985961485641044"/>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rgb="FF009999"/>
        <bgColor rgb="FF009999"/>
      </patternFill>
    </fill>
    <fill>
      <patternFill patternType="solid">
        <fgColor theme="5" tint="0.79982909634693444"/>
        <bgColor indexed="64"/>
      </patternFill>
    </fill>
    <fill>
      <patternFill patternType="solid">
        <fgColor theme="9" tint="0.79967650379955446"/>
        <bgColor indexed="64"/>
      </patternFill>
    </fill>
    <fill>
      <patternFill patternType="solid">
        <fgColor theme="9" tint="0.59987182226020086"/>
        <bgColor rgb="FFC6E0B4"/>
      </patternFill>
    </fill>
    <fill>
      <patternFill patternType="solid">
        <fgColor rgb="FFFFFF00"/>
        <bgColor rgb="FFE2F0D9"/>
      </patternFill>
    </fill>
    <fill>
      <patternFill patternType="solid">
        <fgColor rgb="FF00B0F0"/>
        <bgColor indexed="64"/>
      </patternFill>
    </fill>
    <fill>
      <patternFill patternType="solid">
        <fgColor rgb="FF00B0F0"/>
        <bgColor rgb="FFC5E0B4"/>
      </patternFill>
    </fill>
    <fill>
      <patternFill patternType="solid">
        <fgColor theme="9" tint="0.39997558519241921"/>
        <bgColor rgb="FFC5E0B4"/>
      </patternFill>
    </fill>
    <fill>
      <patternFill patternType="solid">
        <fgColor rgb="FF00B0F0"/>
        <bgColor rgb="FFCCCCFF"/>
      </patternFill>
    </fill>
  </fills>
  <borders count="2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264">
    <xf numFmtId="0" fontId="0" fillId="0" borderId="0"/>
    <xf numFmtId="0" fontId="29" fillId="0" borderId="0" applyNumberFormat="0" applyFill="0" applyBorder="0" applyAlignment="0" applyProtection="0"/>
    <xf numFmtId="0" fontId="22" fillId="10" borderId="0" applyNumberFormat="0" applyBorder="0" applyAlignment="0" applyProtection="0"/>
    <xf numFmtId="0" fontId="49" fillId="32" borderId="1">
      <alignment horizontal="center" vertical="top" wrapText="1"/>
    </xf>
    <xf numFmtId="0" fontId="22" fillId="0" borderId="0"/>
    <xf numFmtId="0" fontId="22" fillId="0" borderId="0"/>
    <xf numFmtId="0" fontId="22" fillId="0" borderId="0"/>
    <xf numFmtId="0" fontId="15" fillId="0" borderId="0"/>
    <xf numFmtId="0" fontId="15" fillId="0" borderId="0"/>
    <xf numFmtId="0" fontId="15" fillId="0" borderId="0"/>
    <xf numFmtId="0" fontId="21" fillId="0" borderId="0"/>
    <xf numFmtId="0" fontId="21" fillId="0" borderId="0"/>
    <xf numFmtId="0" fontId="22" fillId="0" borderId="0"/>
    <xf numFmtId="0" fontId="15" fillId="0" borderId="0"/>
    <xf numFmtId="0" fontId="15" fillId="0" borderId="0"/>
    <xf numFmtId="0" fontId="15" fillId="0" borderId="0"/>
    <xf numFmtId="0" fontId="22" fillId="0" borderId="0"/>
    <xf numFmtId="0" fontId="33" fillId="0" borderId="0"/>
    <xf numFmtId="0" fontId="22" fillId="0" borderId="0"/>
    <xf numFmtId="0" fontId="22" fillId="0" borderId="0"/>
    <xf numFmtId="0" fontId="22" fillId="0" borderId="0"/>
    <xf numFmtId="0" fontId="22" fillId="0" borderId="0"/>
    <xf numFmtId="0" fontId="22" fillId="0" borderId="0"/>
    <xf numFmtId="0" fontId="50" fillId="0" borderId="0"/>
    <xf numFmtId="0" fontId="22" fillId="0" borderId="0"/>
    <xf numFmtId="0" fontId="22" fillId="0" borderId="0"/>
    <xf numFmtId="0" fontId="22" fillId="0" borderId="0"/>
    <xf numFmtId="0" fontId="15"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5" fillId="0" borderId="0"/>
    <xf numFmtId="0" fontId="22" fillId="0" borderId="0"/>
    <xf numFmtId="0" fontId="22" fillId="0" borderId="0"/>
    <xf numFmtId="0" fontId="22" fillId="0" borderId="0"/>
    <xf numFmtId="0" fontId="22" fillId="0" borderId="0"/>
    <xf numFmtId="0" fontId="15" fillId="0" borderId="0"/>
    <xf numFmtId="0" fontId="22" fillId="0" borderId="0"/>
    <xf numFmtId="0" fontId="22" fillId="0" borderId="0"/>
    <xf numFmtId="0" fontId="15" fillId="0" borderId="0"/>
    <xf numFmtId="0" fontId="22" fillId="0" borderId="0"/>
    <xf numFmtId="0" fontId="22" fillId="0" borderId="0"/>
    <xf numFmtId="0" fontId="15"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5"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5"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5" fillId="0" borderId="0"/>
    <xf numFmtId="0" fontId="22" fillId="0" borderId="0"/>
    <xf numFmtId="0" fontId="22" fillId="0" borderId="0"/>
    <xf numFmtId="0" fontId="22" fillId="0" borderId="0"/>
    <xf numFmtId="0" fontId="22" fillId="0" borderId="0"/>
    <xf numFmtId="0" fontId="22" fillId="0" borderId="0"/>
    <xf numFmtId="0" fontId="15" fillId="0" borderId="0"/>
    <xf numFmtId="0" fontId="33" fillId="0" borderId="0"/>
    <xf numFmtId="0" fontId="15" fillId="0" borderId="0"/>
    <xf numFmtId="0" fontId="33" fillId="0" borderId="0"/>
    <xf numFmtId="0" fontId="33" fillId="0" borderId="0"/>
    <xf numFmtId="0" fontId="33" fillId="0" borderId="0"/>
    <xf numFmtId="0" fontId="33" fillId="0" borderId="0"/>
    <xf numFmtId="0" fontId="22" fillId="0" borderId="0"/>
    <xf numFmtId="0" fontId="22" fillId="0" borderId="0"/>
    <xf numFmtId="0" fontId="22" fillId="0" borderId="0"/>
    <xf numFmtId="0" fontId="15" fillId="0" borderId="0"/>
    <xf numFmtId="0" fontId="22" fillId="0" borderId="0"/>
    <xf numFmtId="0" fontId="22" fillId="0" borderId="0"/>
    <xf numFmtId="0" fontId="21" fillId="0" borderId="0"/>
    <xf numFmtId="0" fontId="21" fillId="0" borderId="0"/>
    <xf numFmtId="0" fontId="15" fillId="0" borderId="0"/>
    <xf numFmtId="0" fontId="15" fillId="0" borderId="0"/>
    <xf numFmtId="0" fontId="22" fillId="0" borderId="0"/>
    <xf numFmtId="0" fontId="22" fillId="0" borderId="0"/>
    <xf numFmtId="0" fontId="22" fillId="0" borderId="0"/>
    <xf numFmtId="0" fontId="22" fillId="0" borderId="0"/>
    <xf numFmtId="0" fontId="15" fillId="0" borderId="0"/>
    <xf numFmtId="0" fontId="15" fillId="0" borderId="0"/>
    <xf numFmtId="0" fontId="15" fillId="0" borderId="0"/>
    <xf numFmtId="0" fontId="33" fillId="0" borderId="0"/>
    <xf numFmtId="0" fontId="22" fillId="0" borderId="0"/>
    <xf numFmtId="0" fontId="22" fillId="0" borderId="0"/>
    <xf numFmtId="0" fontId="22" fillId="0" borderId="0"/>
    <xf numFmtId="0" fontId="22" fillId="0" borderId="0"/>
    <xf numFmtId="0" fontId="22" fillId="0" borderId="0"/>
    <xf numFmtId="0" fontId="21" fillId="0" borderId="0"/>
    <xf numFmtId="0" fontId="22" fillId="0" borderId="0"/>
    <xf numFmtId="0" fontId="21" fillId="0" borderId="0"/>
    <xf numFmtId="0" fontId="22" fillId="0" borderId="0"/>
    <xf numFmtId="0" fontId="22" fillId="0" borderId="0"/>
    <xf numFmtId="0" fontId="21" fillId="0" borderId="0"/>
    <xf numFmtId="0" fontId="21" fillId="0" borderId="0"/>
    <xf numFmtId="0" fontId="21" fillId="0" borderId="0"/>
    <xf numFmtId="0" fontId="21" fillId="0" borderId="0"/>
    <xf numFmtId="0" fontId="15" fillId="0" borderId="0"/>
    <xf numFmtId="0" fontId="16" fillId="0" borderId="0"/>
    <xf numFmtId="0" fontId="39" fillId="0" borderId="0"/>
    <xf numFmtId="0" fontId="32" fillId="0" borderId="0"/>
    <xf numFmtId="0" fontId="30" fillId="0" borderId="0"/>
    <xf numFmtId="0" fontId="38" fillId="0" borderId="0"/>
    <xf numFmtId="0" fontId="22" fillId="0" borderId="0"/>
    <xf numFmtId="0" fontId="21" fillId="0" borderId="0"/>
    <xf numFmtId="0" fontId="21" fillId="0" borderId="0"/>
    <xf numFmtId="0" fontId="21" fillId="0" borderId="0"/>
    <xf numFmtId="0" fontId="21" fillId="0" borderId="0"/>
    <xf numFmtId="0" fontId="21" fillId="0" borderId="0"/>
    <xf numFmtId="0" fontId="16" fillId="0" borderId="0"/>
    <xf numFmtId="0" fontId="16" fillId="0" borderId="0"/>
    <xf numFmtId="0" fontId="15" fillId="0" borderId="0"/>
    <xf numFmtId="0" fontId="22" fillId="0" borderId="0"/>
    <xf numFmtId="0" fontId="22" fillId="0" borderId="0"/>
    <xf numFmtId="0" fontId="15" fillId="0" borderId="0"/>
    <xf numFmtId="0" fontId="15" fillId="0" borderId="0"/>
    <xf numFmtId="0" fontId="16" fillId="0" borderId="0"/>
    <xf numFmtId="0" fontId="16" fillId="0" borderId="0"/>
    <xf numFmtId="0" fontId="15"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1" fillId="0" borderId="0"/>
    <xf numFmtId="0" fontId="21" fillId="0" borderId="0"/>
    <xf numFmtId="0" fontId="15" fillId="0" borderId="0"/>
    <xf numFmtId="0" fontId="15" fillId="0" borderId="0"/>
    <xf numFmtId="0" fontId="25" fillId="0" borderId="0" applyNumberFormat="0" applyFill="0" applyBorder="0" applyAlignment="0" applyProtection="0"/>
    <xf numFmtId="164" fontId="32" fillId="0" borderId="0" applyFont="0" applyFill="0" applyBorder="0" applyAlignment="0" applyProtection="0"/>
    <xf numFmtId="0" fontId="57" fillId="0" borderId="0"/>
    <xf numFmtId="0" fontId="13" fillId="0" borderId="0"/>
    <xf numFmtId="0" fontId="60" fillId="0" borderId="0"/>
    <xf numFmtId="0" fontId="13" fillId="0" borderId="0"/>
    <xf numFmtId="0" fontId="56" fillId="0" borderId="0"/>
    <xf numFmtId="0" fontId="13" fillId="0" borderId="0"/>
    <xf numFmtId="0" fontId="60" fillId="0" borderId="0"/>
    <xf numFmtId="0" fontId="59" fillId="0" borderId="0"/>
    <xf numFmtId="0" fontId="60" fillId="0" borderId="0"/>
    <xf numFmtId="0" fontId="60" fillId="0" borderId="0"/>
    <xf numFmtId="0" fontId="61" fillId="0" borderId="0" applyNumberFormat="0" applyFill="0" applyBorder="0" applyAlignment="0" applyProtection="0"/>
    <xf numFmtId="0" fontId="13" fillId="0" borderId="0"/>
    <xf numFmtId="0" fontId="13" fillId="0" borderId="0"/>
    <xf numFmtId="0" fontId="58" fillId="0" borderId="0"/>
    <xf numFmtId="0" fontId="59" fillId="0" borderId="0"/>
    <xf numFmtId="0" fontId="13" fillId="0" borderId="0"/>
    <xf numFmtId="0" fontId="58" fillId="0" borderId="0"/>
    <xf numFmtId="0" fontId="56" fillId="0" borderId="0"/>
    <xf numFmtId="0" fontId="60" fillId="0" borderId="0"/>
    <xf numFmtId="0" fontId="12" fillId="0" borderId="0"/>
    <xf numFmtId="0" fontId="12" fillId="0" borderId="0"/>
    <xf numFmtId="0" fontId="11" fillId="0" borderId="0"/>
    <xf numFmtId="0" fontId="16" fillId="0" borderId="0"/>
    <xf numFmtId="0" fontId="11" fillId="0" borderId="0"/>
    <xf numFmtId="0" fontId="62" fillId="0" borderId="0"/>
    <xf numFmtId="0" fontId="63" fillId="0" borderId="0" applyNumberFormat="0" applyFill="0" applyBorder="0" applyProtection="0"/>
    <xf numFmtId="0" fontId="64" fillId="0" borderId="0"/>
    <xf numFmtId="0" fontId="62" fillId="0" borderId="0"/>
    <xf numFmtId="0" fontId="65" fillId="0" borderId="0"/>
    <xf numFmtId="0" fontId="65" fillId="0" borderId="0"/>
    <xf numFmtId="0" fontId="66" fillId="0" borderId="0" applyBorder="0" applyProtection="0"/>
    <xf numFmtId="0" fontId="65" fillId="0" borderId="0"/>
    <xf numFmtId="0" fontId="68" fillId="0" borderId="0"/>
    <xf numFmtId="0" fontId="65" fillId="69" borderId="0" applyBorder="0" applyProtection="0"/>
    <xf numFmtId="0" fontId="65" fillId="0" borderId="0"/>
    <xf numFmtId="0" fontId="67" fillId="0" borderId="0"/>
    <xf numFmtId="0" fontId="15" fillId="0" borderId="0"/>
    <xf numFmtId="0" fontId="21" fillId="0" borderId="0"/>
    <xf numFmtId="0" fontId="21" fillId="0" borderId="0"/>
    <xf numFmtId="0" fontId="15" fillId="0" borderId="0"/>
    <xf numFmtId="0" fontId="33" fillId="0" borderId="0"/>
    <xf numFmtId="0" fontId="10" fillId="0" borderId="0"/>
    <xf numFmtId="0" fontId="10" fillId="0" borderId="0"/>
    <xf numFmtId="0" fontId="63" fillId="0" borderId="0" applyNumberFormat="0" applyFill="0" applyBorder="0" applyAlignment="0" applyProtection="0"/>
    <xf numFmtId="0" fontId="69" fillId="0" borderId="0"/>
    <xf numFmtId="0" fontId="9" fillId="0" borderId="0"/>
    <xf numFmtId="0" fontId="9" fillId="0" borderId="0"/>
    <xf numFmtId="0" fontId="9" fillId="0" borderId="0"/>
    <xf numFmtId="0" fontId="9" fillId="0" borderId="0"/>
    <xf numFmtId="0" fontId="8" fillId="0" borderId="0"/>
    <xf numFmtId="0" fontId="8" fillId="0" borderId="0"/>
    <xf numFmtId="0" fontId="7" fillId="0" borderId="0"/>
    <xf numFmtId="0" fontId="7" fillId="0" borderId="0"/>
    <xf numFmtId="0" fontId="7" fillId="0" borderId="0"/>
    <xf numFmtId="0" fontId="7" fillId="0" borderId="0"/>
    <xf numFmtId="0" fontId="7" fillId="0" borderId="0"/>
    <xf numFmtId="0" fontId="7" fillId="0" borderId="0"/>
    <xf numFmtId="0" fontId="79" fillId="0" borderId="0"/>
    <xf numFmtId="0" fontId="80" fillId="0" borderId="0"/>
    <xf numFmtId="0" fontId="78" fillId="0" borderId="0"/>
    <xf numFmtId="0" fontId="78" fillId="0" borderId="0"/>
    <xf numFmtId="0" fontId="81" fillId="0" borderId="0"/>
    <xf numFmtId="0" fontId="82"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8" fillId="0" borderId="0"/>
    <xf numFmtId="0" fontId="83" fillId="0" borderId="0"/>
    <xf numFmtId="0" fontId="78" fillId="0" borderId="0"/>
    <xf numFmtId="0" fontId="84" fillId="0" borderId="0"/>
    <xf numFmtId="0" fontId="84" fillId="0" borderId="0"/>
    <xf numFmtId="0" fontId="84" fillId="0" borderId="0"/>
    <xf numFmtId="0" fontId="85" fillId="0" borderId="0"/>
    <xf numFmtId="0" fontId="87" fillId="0" borderId="0"/>
    <xf numFmtId="0" fontId="87" fillId="0" borderId="0"/>
    <xf numFmtId="0" fontId="88" fillId="0" borderId="0" applyNumberFormat="0" applyFill="0" applyBorder="0" applyProtection="0"/>
    <xf numFmtId="0" fontId="86" fillId="0" borderId="0"/>
    <xf numFmtId="0" fontId="84" fillId="0" borderId="0"/>
    <xf numFmtId="0" fontId="84" fillId="0" borderId="0"/>
    <xf numFmtId="0" fontId="5" fillId="0" borderId="0"/>
    <xf numFmtId="0" fontId="5" fillId="0" borderId="0"/>
    <xf numFmtId="0" fontId="4" fillId="0" borderId="0"/>
    <xf numFmtId="0" fontId="4" fillId="0" borderId="0"/>
    <xf numFmtId="0" fontId="89" fillId="0" borderId="0"/>
    <xf numFmtId="0" fontId="29" fillId="0" borderId="0" applyNumberFormat="0" applyFill="0" applyBorder="0" applyProtection="0"/>
    <xf numFmtId="0" fontId="89" fillId="0" borderId="0"/>
    <xf numFmtId="0" fontId="89" fillId="0" borderId="0"/>
    <xf numFmtId="0" fontId="90" fillId="0" borderId="0"/>
    <xf numFmtId="0" fontId="3" fillId="0" borderId="0"/>
    <xf numFmtId="0" fontId="3" fillId="0" borderId="0"/>
    <xf numFmtId="43" fontId="32" fillId="0" borderId="0" applyFont="0" applyFill="0" applyBorder="0" applyAlignment="0" applyProtection="0"/>
    <xf numFmtId="0" fontId="2" fillId="0" borderId="0"/>
    <xf numFmtId="0" fontId="92" fillId="0" borderId="0"/>
    <xf numFmtId="0" fontId="92" fillId="0" borderId="0"/>
    <xf numFmtId="0" fontId="92" fillId="0" borderId="0"/>
    <xf numFmtId="0" fontId="93" fillId="0" borderId="0"/>
    <xf numFmtId="0" fontId="1" fillId="0" borderId="0"/>
    <xf numFmtId="0" fontId="1" fillId="0" borderId="0"/>
    <xf numFmtId="0" fontId="94" fillId="0" borderId="0"/>
    <xf numFmtId="0" fontId="1" fillId="0" borderId="0"/>
    <xf numFmtId="0" fontId="21" fillId="0" borderId="0"/>
    <xf numFmtId="0" fontId="21" fillId="0" borderId="0"/>
    <xf numFmtId="0" fontId="16" fillId="0" borderId="0"/>
  </cellStyleXfs>
  <cellXfs count="429">
    <xf numFmtId="0" fontId="0" fillId="0" borderId="0" xfId="0"/>
    <xf numFmtId="0" fontId="14" fillId="0" borderId="1" xfId="0" applyFont="1" applyBorder="1" applyAlignment="1">
      <alignment horizontal="left" vertical="center" wrapText="1"/>
    </xf>
    <xf numFmtId="0" fontId="15" fillId="0" borderId="0" xfId="0" applyFont="1" applyAlignment="1">
      <alignment wrapText="1"/>
    </xf>
    <xf numFmtId="0" fontId="14" fillId="0" borderId="1" xfId="0" applyFont="1" applyBorder="1" applyAlignment="1">
      <alignment horizontal="left" vertical="center"/>
    </xf>
    <xf numFmtId="0" fontId="15" fillId="0" borderId="0" xfId="0" applyFont="1" applyAlignment="1">
      <alignment vertical="center"/>
    </xf>
    <xf numFmtId="0" fontId="16" fillId="0" borderId="0" xfId="0" applyFont="1"/>
    <xf numFmtId="0" fontId="17" fillId="0" borderId="1" xfId="112" applyFont="1" applyBorder="1" applyAlignment="1">
      <alignment horizontal="center" vertical="center" wrapText="1"/>
    </xf>
    <xf numFmtId="0" fontId="18" fillId="0" borderId="1" xfId="112" applyFont="1" applyBorder="1" applyAlignment="1">
      <alignment horizontal="center" vertical="center" wrapText="1"/>
    </xf>
    <xf numFmtId="0" fontId="19" fillId="0" borderId="1" xfId="112" applyFont="1" applyBorder="1" applyAlignment="1">
      <alignment horizontal="left" vertical="center"/>
    </xf>
    <xf numFmtId="0" fontId="20" fillId="0" borderId="1" xfId="112" applyFont="1" applyBorder="1" applyAlignment="1">
      <alignment horizontal="left" vertical="top" wrapText="1"/>
    </xf>
    <xf numFmtId="0" fontId="20" fillId="0" borderId="1" xfId="112" applyFont="1" applyBorder="1" applyAlignment="1">
      <alignment horizontal="left" vertical="center"/>
    </xf>
    <xf numFmtId="0" fontId="20" fillId="0" borderId="1" xfId="112" applyFont="1" applyBorder="1" applyAlignment="1">
      <alignment horizontal="left" vertical="center" wrapText="1"/>
    </xf>
    <xf numFmtId="0" fontId="21" fillId="0" borderId="0" xfId="129" applyAlignment="1">
      <alignment horizontal="left" vertical="top"/>
    </xf>
    <xf numFmtId="0" fontId="20" fillId="0" borderId="2" xfId="112" applyFont="1" applyBorder="1" applyAlignment="1">
      <alignment horizontal="left" vertical="top" wrapText="1"/>
    </xf>
    <xf numFmtId="0" fontId="19" fillId="0" borderId="0" xfId="0" applyFont="1" applyAlignment="1">
      <alignment horizontal="left" vertical="top"/>
    </xf>
    <xf numFmtId="0" fontId="19" fillId="0" borderId="0" xfId="129" applyFont="1" applyAlignment="1">
      <alignment vertical="top"/>
    </xf>
    <xf numFmtId="0" fontId="22" fillId="2" borderId="0" xfId="148" applyFill="1" applyAlignment="1">
      <alignment horizontal="left" vertical="top"/>
    </xf>
    <xf numFmtId="0" fontId="22" fillId="0" borderId="0" xfId="148" applyAlignment="1">
      <alignment horizontal="left" vertical="top"/>
    </xf>
    <xf numFmtId="0" fontId="23" fillId="3" borderId="0" xfId="0" applyFont="1" applyFill="1" applyAlignment="1">
      <alignment vertical="top"/>
    </xf>
    <xf numFmtId="0" fontId="17" fillId="0" borderId="0" xfId="0" applyFont="1" applyAlignment="1">
      <alignment horizontal="left" vertical="top"/>
    </xf>
    <xf numFmtId="0" fontId="24" fillId="3" borderId="0" xfId="0" applyFont="1" applyFill="1" applyAlignment="1">
      <alignment vertical="top"/>
    </xf>
    <xf numFmtId="0" fontId="17" fillId="4" borderId="0" xfId="0" applyFont="1" applyFill="1" applyAlignment="1">
      <alignment horizontal="left" vertical="top"/>
    </xf>
    <xf numFmtId="165" fontId="17" fillId="4" borderId="0" xfId="0" applyNumberFormat="1" applyFont="1" applyFill="1" applyAlignment="1">
      <alignment horizontal="left" vertical="top"/>
    </xf>
    <xf numFmtId="0" fontId="24" fillId="5" borderId="1" xfId="129" applyFont="1" applyFill="1" applyBorder="1" applyAlignment="1">
      <alignment vertical="top" wrapText="1"/>
    </xf>
    <xf numFmtId="0" fontId="25" fillId="6" borderId="3" xfId="148" applyFont="1" applyFill="1" applyBorder="1" applyAlignment="1">
      <alignment horizontal="left" vertical="top"/>
    </xf>
    <xf numFmtId="0" fontId="25" fillId="7" borderId="3" xfId="148" applyFont="1" applyFill="1" applyBorder="1" applyAlignment="1">
      <alignment horizontal="left" vertical="top" wrapText="1"/>
    </xf>
    <xf numFmtId="0" fontId="22" fillId="7" borderId="3" xfId="148" applyFill="1" applyBorder="1" applyAlignment="1">
      <alignment horizontal="left" vertical="top" wrapText="1"/>
    </xf>
    <xf numFmtId="0" fontId="22" fillId="8" borderId="3" xfId="148" applyFill="1" applyBorder="1" applyAlignment="1">
      <alignment horizontal="left" vertical="top" wrapText="1"/>
    </xf>
    <xf numFmtId="0" fontId="22" fillId="7" borderId="3" xfId="148" applyFill="1" applyBorder="1" applyAlignment="1">
      <alignment horizontal="left" vertical="top"/>
    </xf>
    <xf numFmtId="0" fontId="25" fillId="6" borderId="1" xfId="148" applyFont="1" applyFill="1" applyBorder="1" applyAlignment="1">
      <alignment horizontal="left" vertical="top"/>
    </xf>
    <xf numFmtId="0" fontId="25" fillId="7" borderId="1" xfId="148" applyFont="1" applyFill="1" applyBorder="1" applyAlignment="1">
      <alignment horizontal="left" vertical="top" wrapText="1"/>
    </xf>
    <xf numFmtId="0" fontId="22" fillId="7" borderId="1" xfId="148" applyFill="1" applyBorder="1" applyAlignment="1">
      <alignment horizontal="left" vertical="top" wrapText="1"/>
    </xf>
    <xf numFmtId="0" fontId="22" fillId="8" borderId="1" xfId="148" applyFill="1" applyBorder="1" applyAlignment="1">
      <alignment horizontal="left" vertical="top" wrapText="1"/>
    </xf>
    <xf numFmtId="0" fontId="22" fillId="7" borderId="1" xfId="148" applyFill="1" applyBorder="1" applyAlignment="1">
      <alignment horizontal="left" vertical="top"/>
    </xf>
    <xf numFmtId="0" fontId="22" fillId="9" borderId="1" xfId="148" applyFill="1" applyBorder="1" applyAlignment="1">
      <alignment horizontal="left" vertical="top" wrapText="1"/>
    </xf>
    <xf numFmtId="0" fontId="25" fillId="7" borderId="1" xfId="148" applyFont="1" applyFill="1" applyBorder="1" applyAlignment="1">
      <alignment horizontal="left" vertical="top"/>
    </xf>
    <xf numFmtId="0" fontId="26" fillId="7" borderId="1" xfId="148" applyFont="1" applyFill="1" applyBorder="1" applyAlignment="1">
      <alignment horizontal="left" vertical="top" wrapText="1"/>
    </xf>
    <xf numFmtId="0" fontId="25" fillId="6" borderId="1" xfId="148" applyFont="1" applyFill="1" applyBorder="1" applyAlignment="1">
      <alignment horizontal="left" vertical="top" wrapText="1"/>
    </xf>
    <xf numFmtId="0" fontId="25" fillId="10" borderId="1" xfId="148" applyFont="1" applyFill="1" applyBorder="1" applyAlignment="1">
      <alignment horizontal="left" vertical="top"/>
    </xf>
    <xf numFmtId="0" fontId="25" fillId="10" borderId="1" xfId="148" applyFont="1" applyFill="1" applyBorder="1" applyAlignment="1">
      <alignment horizontal="left" vertical="top" wrapText="1"/>
    </xf>
    <xf numFmtId="0" fontId="22" fillId="10" borderId="1" xfId="148" applyFill="1" applyBorder="1" applyAlignment="1">
      <alignment horizontal="left" vertical="top" wrapText="1"/>
    </xf>
    <xf numFmtId="0" fontId="22" fillId="10" borderId="1" xfId="148" applyFill="1" applyBorder="1" applyAlignment="1">
      <alignment horizontal="left" vertical="top"/>
    </xf>
    <xf numFmtId="0" fontId="27" fillId="11" borderId="0" xfId="0" applyFont="1" applyFill="1" applyAlignment="1">
      <alignment horizontal="left" vertical="top"/>
    </xf>
    <xf numFmtId="0" fontId="27" fillId="12" borderId="0" xfId="0" applyFont="1" applyFill="1" applyAlignment="1">
      <alignment horizontal="left" vertical="top"/>
    </xf>
    <xf numFmtId="0" fontId="22" fillId="2" borderId="2" xfId="148" applyFill="1" applyBorder="1" applyAlignment="1">
      <alignment horizontal="left" vertical="top"/>
    </xf>
    <xf numFmtId="0" fontId="22" fillId="13" borderId="1" xfId="148" applyFill="1" applyBorder="1" applyAlignment="1">
      <alignment horizontal="left" vertical="top"/>
    </xf>
    <xf numFmtId="0" fontId="22" fillId="13" borderId="1" xfId="148" applyFill="1" applyBorder="1" applyAlignment="1">
      <alignment horizontal="left" vertical="top" wrapText="1"/>
    </xf>
    <xf numFmtId="0" fontId="22" fillId="14" borderId="1" xfId="148" applyFill="1" applyBorder="1" applyAlignment="1">
      <alignment horizontal="left" vertical="top" wrapText="1"/>
    </xf>
    <xf numFmtId="0" fontId="25" fillId="14" borderId="1" xfId="148" applyFont="1" applyFill="1" applyBorder="1" applyAlignment="1">
      <alignment horizontal="left" vertical="top" wrapText="1"/>
    </xf>
    <xf numFmtId="0" fontId="22" fillId="14" borderId="1" xfId="148" applyFill="1" applyBorder="1" applyAlignment="1">
      <alignment horizontal="left" vertical="top"/>
    </xf>
    <xf numFmtId="0" fontId="26" fillId="14" borderId="1" xfId="148" applyFont="1" applyFill="1" applyBorder="1" applyAlignment="1">
      <alignment horizontal="left" vertical="top" wrapText="1"/>
    </xf>
    <xf numFmtId="0" fontId="22" fillId="15" borderId="1" xfId="148" applyFill="1" applyBorder="1" applyAlignment="1">
      <alignment horizontal="left" vertical="top"/>
    </xf>
    <xf numFmtId="0" fontId="22" fillId="15" borderId="1" xfId="148" applyFill="1" applyBorder="1" applyAlignment="1">
      <alignment horizontal="left" vertical="top" wrapText="1"/>
    </xf>
    <xf numFmtId="0" fontId="0" fillId="15" borderId="1" xfId="39" applyFont="1" applyFill="1" applyBorder="1" applyAlignment="1">
      <alignment horizontal="left" vertical="top" wrapText="1"/>
    </xf>
    <xf numFmtId="0" fontId="25" fillId="15" borderId="1" xfId="39" applyFont="1" applyFill="1" applyBorder="1" applyAlignment="1">
      <alignment horizontal="left" vertical="top" wrapText="1"/>
    </xf>
    <xf numFmtId="0" fontId="25" fillId="15" borderId="1" xfId="148" applyFont="1" applyFill="1" applyBorder="1" applyAlignment="1">
      <alignment horizontal="left" vertical="top" wrapText="1"/>
    </xf>
    <xf numFmtId="0" fontId="22" fillId="16" borderId="1" xfId="148" applyFill="1" applyBorder="1" applyAlignment="1">
      <alignment horizontal="left" vertical="top"/>
    </xf>
    <xf numFmtId="0" fontId="22" fillId="16" borderId="1" xfId="148" applyFill="1" applyBorder="1" applyAlignment="1">
      <alignment horizontal="left" vertical="top" wrapText="1"/>
    </xf>
    <xf numFmtId="0" fontId="25" fillId="16" borderId="1" xfId="148" applyFont="1" applyFill="1" applyBorder="1" applyAlignment="1">
      <alignment horizontal="left" vertical="top" wrapText="1"/>
    </xf>
    <xf numFmtId="0" fontId="28" fillId="17" borderId="1" xfId="148" applyFont="1" applyFill="1" applyBorder="1" applyAlignment="1">
      <alignment horizontal="left" vertical="top" wrapText="1"/>
    </xf>
    <xf numFmtId="0" fontId="22" fillId="18" borderId="1" xfId="148" applyFill="1" applyBorder="1" applyAlignment="1">
      <alignment horizontal="left" vertical="top"/>
    </xf>
    <xf numFmtId="0" fontId="0" fillId="18" borderId="1" xfId="39" applyFont="1" applyFill="1" applyBorder="1" applyAlignment="1">
      <alignment horizontal="left" vertical="top"/>
    </xf>
    <xf numFmtId="0" fontId="0" fillId="18" borderId="1" xfId="39" applyFont="1" applyFill="1" applyBorder="1" applyAlignment="1">
      <alignment horizontal="left" vertical="top" wrapText="1"/>
    </xf>
    <xf numFmtId="0" fontId="25" fillId="18" borderId="1" xfId="39" applyFont="1" applyFill="1" applyBorder="1" applyAlignment="1">
      <alignment horizontal="left" vertical="top" wrapText="1"/>
    </xf>
    <xf numFmtId="0" fontId="22" fillId="19" borderId="1" xfId="148" applyFill="1" applyBorder="1" applyAlignment="1">
      <alignment horizontal="left" vertical="top"/>
    </xf>
    <xf numFmtId="0" fontId="0" fillId="19" borderId="1" xfId="39" applyFont="1" applyFill="1" applyBorder="1" applyAlignment="1">
      <alignment horizontal="left" vertical="top" wrapText="1"/>
    </xf>
    <xf numFmtId="0" fontId="25" fillId="19" borderId="1" xfId="39" applyFont="1" applyFill="1" applyBorder="1" applyAlignment="1">
      <alignment horizontal="left" vertical="top" wrapText="1"/>
    </xf>
    <xf numFmtId="0" fontId="22" fillId="20" borderId="1" xfId="148" applyFill="1" applyBorder="1" applyAlignment="1">
      <alignment horizontal="left" vertical="top"/>
    </xf>
    <xf numFmtId="0" fontId="0" fillId="21" borderId="1" xfId="58" applyFont="1" applyFill="1" applyBorder="1" applyAlignment="1">
      <alignment horizontal="left" vertical="top" wrapText="1"/>
    </xf>
    <xf numFmtId="0" fontId="0" fillId="20" borderId="1" xfId="58" applyFont="1" applyFill="1" applyBorder="1" applyAlignment="1">
      <alignment horizontal="left" vertical="top" wrapText="1"/>
    </xf>
    <xf numFmtId="0" fontId="25" fillId="20" borderId="1" xfId="58" applyFont="1" applyFill="1" applyBorder="1" applyAlignment="1">
      <alignment horizontal="left" vertical="top" wrapText="1"/>
    </xf>
    <xf numFmtId="0" fontId="22" fillId="20" borderId="1" xfId="148" applyFill="1" applyBorder="1" applyAlignment="1">
      <alignment horizontal="left" vertical="top" wrapText="1"/>
    </xf>
    <xf numFmtId="0" fontId="22" fillId="0" borderId="1" xfId="148" applyBorder="1" applyAlignment="1">
      <alignment horizontal="left" vertical="top"/>
    </xf>
    <xf numFmtId="0" fontId="22" fillId="2" borderId="1" xfId="148" applyFill="1" applyBorder="1" applyAlignment="1">
      <alignment horizontal="left" vertical="top"/>
    </xf>
    <xf numFmtId="0" fontId="24" fillId="5" borderId="0" xfId="129" applyFont="1" applyFill="1" applyAlignment="1">
      <alignment vertical="top" wrapText="1"/>
    </xf>
    <xf numFmtId="0" fontId="23" fillId="5" borderId="0" xfId="129" applyFont="1" applyFill="1" applyAlignment="1">
      <alignment vertical="top"/>
    </xf>
    <xf numFmtId="0" fontId="24" fillId="5" borderId="0" xfId="129" applyFont="1" applyFill="1" applyAlignment="1">
      <alignment vertical="top"/>
    </xf>
    <xf numFmtId="0" fontId="37" fillId="5" borderId="0" xfId="129" applyFont="1" applyFill="1" applyAlignment="1">
      <alignment vertical="top" wrapText="1"/>
    </xf>
    <xf numFmtId="0" fontId="19" fillId="22" borderId="0" xfId="49" applyFont="1" applyFill="1" applyAlignment="1">
      <alignment horizontal="left" vertical="top"/>
    </xf>
    <xf numFmtId="0" fontId="19" fillId="0" borderId="0" xfId="49" applyFont="1" applyAlignment="1">
      <alignment horizontal="left" vertical="top"/>
    </xf>
    <xf numFmtId="0" fontId="17" fillId="4" borderId="0" xfId="49" applyFont="1" applyFill="1" applyAlignment="1">
      <alignment horizontal="left" vertical="top"/>
    </xf>
    <xf numFmtId="0" fontId="43" fillId="0" borderId="0" xfId="49" applyFont="1" applyAlignment="1">
      <alignment horizontal="left" vertical="top"/>
    </xf>
    <xf numFmtId="0" fontId="17" fillId="0" borderId="0" xfId="49" applyFont="1" applyAlignment="1">
      <alignment horizontal="left" vertical="top"/>
    </xf>
    <xf numFmtId="0" fontId="34" fillId="0" borderId="0" xfId="49" applyFont="1" applyAlignment="1">
      <alignment horizontal="left" vertical="top"/>
    </xf>
    <xf numFmtId="0" fontId="19" fillId="16" borderId="0" xfId="49" applyFont="1" applyFill="1" applyAlignment="1">
      <alignment horizontal="left" vertical="top"/>
    </xf>
    <xf numFmtId="0" fontId="17" fillId="16" borderId="0" xfId="49" applyFont="1" applyFill="1" applyAlignment="1">
      <alignment horizontal="left" vertical="top"/>
    </xf>
    <xf numFmtId="0" fontId="35" fillId="0" borderId="0" xfId="49" applyFont="1" applyAlignment="1">
      <alignment horizontal="left"/>
    </xf>
    <xf numFmtId="0" fontId="34" fillId="2" borderId="0" xfId="49" applyFont="1" applyFill="1" applyAlignment="1">
      <alignment horizontal="left"/>
    </xf>
    <xf numFmtId="0" fontId="27" fillId="40" borderId="0" xfId="49" applyFont="1" applyFill="1" applyAlignment="1">
      <alignment horizontal="left" vertical="top"/>
    </xf>
    <xf numFmtId="0" fontId="17" fillId="22" borderId="0" xfId="49" applyFont="1" applyFill="1" applyAlignment="1">
      <alignment horizontal="left" vertical="top"/>
    </xf>
    <xf numFmtId="0" fontId="31" fillId="22" borderId="0" xfId="49" applyFont="1" applyFill="1" applyAlignment="1">
      <alignment horizontal="left" vertical="top"/>
    </xf>
    <xf numFmtId="0" fontId="27" fillId="22" borderId="0" xfId="49" applyFont="1" applyFill="1" applyAlignment="1">
      <alignment horizontal="left" vertical="top"/>
    </xf>
    <xf numFmtId="0" fontId="27" fillId="0" borderId="0" xfId="49" applyFont="1" applyAlignment="1">
      <alignment horizontal="left" vertical="top"/>
    </xf>
    <xf numFmtId="0" fontId="31" fillId="0" borderId="0" xfId="49" applyFont="1" applyAlignment="1">
      <alignment horizontal="left" vertical="top"/>
    </xf>
    <xf numFmtId="0" fontId="27" fillId="41" borderId="0" xfId="49" applyFont="1" applyFill="1" applyAlignment="1">
      <alignment horizontal="left" vertical="top"/>
    </xf>
    <xf numFmtId="0" fontId="31" fillId="41" borderId="0" xfId="49" applyFont="1" applyFill="1" applyAlignment="1">
      <alignment horizontal="left" vertical="top" wrapText="1"/>
    </xf>
    <xf numFmtId="0" fontId="19" fillId="0" borderId="0" xfId="49" applyFont="1" applyAlignment="1">
      <alignment horizontal="left" vertical="top" wrapText="1"/>
    </xf>
    <xf numFmtId="0" fontId="43" fillId="0" borderId="0" xfId="49" applyFont="1" applyAlignment="1" applyProtection="1">
      <alignment horizontal="left" vertical="top"/>
      <protection locked="0"/>
    </xf>
    <xf numFmtId="165" fontId="17" fillId="4" borderId="0" xfId="49" applyNumberFormat="1" applyFont="1" applyFill="1" applyAlignment="1">
      <alignment horizontal="left" vertical="top"/>
    </xf>
    <xf numFmtId="0" fontId="17" fillId="42" borderId="1" xfId="49" applyFont="1" applyFill="1" applyBorder="1" applyAlignment="1">
      <alignment horizontal="left" vertical="top"/>
    </xf>
    <xf numFmtId="0" fontId="17" fillId="42" borderId="1" xfId="49" applyFont="1" applyFill="1" applyBorder="1" applyAlignment="1">
      <alignment horizontal="left" vertical="top" wrapText="1"/>
    </xf>
    <xf numFmtId="0" fontId="31" fillId="42" borderId="1" xfId="49" applyFont="1" applyFill="1" applyBorder="1" applyAlignment="1">
      <alignment horizontal="left" vertical="top" wrapText="1"/>
    </xf>
    <xf numFmtId="0" fontId="19" fillId="42" borderId="1" xfId="49" applyFont="1" applyFill="1" applyBorder="1" applyAlignment="1">
      <alignment horizontal="left" vertical="top"/>
    </xf>
    <xf numFmtId="0" fontId="19" fillId="42" borderId="1" xfId="49" applyFont="1" applyFill="1" applyBorder="1" applyAlignment="1">
      <alignment horizontal="left" vertical="top" wrapText="1"/>
    </xf>
    <xf numFmtId="0" fontId="27" fillId="42" borderId="1" xfId="49" applyFont="1" applyFill="1" applyBorder="1" applyAlignment="1">
      <alignment horizontal="left" vertical="top" wrapText="1"/>
    </xf>
    <xf numFmtId="0" fontId="27" fillId="43" borderId="1" xfId="49" applyFont="1" applyFill="1" applyBorder="1" applyAlignment="1">
      <alignment horizontal="left" vertical="top" wrapText="1"/>
    </xf>
    <xf numFmtId="0" fontId="31" fillId="42" borderId="2" xfId="49" applyFont="1" applyFill="1" applyBorder="1" applyAlignment="1">
      <alignment horizontal="left" vertical="top"/>
    </xf>
    <xf numFmtId="0" fontId="27" fillId="42" borderId="1" xfId="49" applyFont="1" applyFill="1" applyBorder="1" applyAlignment="1">
      <alignment horizontal="left" vertical="top"/>
    </xf>
    <xf numFmtId="0" fontId="27" fillId="44" borderId="1" xfId="49" applyFont="1" applyFill="1" applyBorder="1" applyAlignment="1">
      <alignment horizontal="left" vertical="top" wrapText="1"/>
    </xf>
    <xf numFmtId="0" fontId="31" fillId="42" borderId="1" xfId="49" applyFont="1" applyFill="1" applyBorder="1" applyAlignment="1">
      <alignment horizontal="left" vertical="top"/>
    </xf>
    <xf numFmtId="0" fontId="19" fillId="43" borderId="1" xfId="49" applyFont="1" applyFill="1" applyBorder="1" applyAlignment="1">
      <alignment horizontal="left" vertical="top"/>
    </xf>
    <xf numFmtId="0" fontId="19" fillId="28" borderId="1" xfId="49" applyFont="1" applyFill="1" applyBorder="1" applyAlignment="1">
      <alignment horizontal="left" vertical="top" wrapText="1"/>
    </xf>
    <xf numFmtId="0" fontId="19" fillId="45" borderId="3" xfId="49" applyFont="1" applyFill="1" applyBorder="1" applyAlignment="1">
      <alignment horizontal="left" vertical="top"/>
    </xf>
    <xf numFmtId="0" fontId="19" fillId="28" borderId="1" xfId="49" applyFont="1" applyFill="1" applyBorder="1" applyAlignment="1">
      <alignment horizontal="left" vertical="top"/>
    </xf>
    <xf numFmtId="0" fontId="19" fillId="46" borderId="1" xfId="49" applyFont="1" applyFill="1" applyBorder="1" applyAlignment="1">
      <alignment horizontal="left" vertical="top" wrapText="1"/>
    </xf>
    <xf numFmtId="0" fontId="27" fillId="47" borderId="1" xfId="49" applyFont="1" applyFill="1" applyBorder="1" applyAlignment="1">
      <alignment horizontal="left" vertical="top" wrapText="1"/>
    </xf>
    <xf numFmtId="0" fontId="27" fillId="42" borderId="3" xfId="49" applyFont="1" applyFill="1" applyBorder="1" applyAlignment="1">
      <alignment horizontal="left" vertical="top"/>
    </xf>
    <xf numFmtId="0" fontId="19" fillId="45" borderId="1" xfId="49" applyFont="1" applyFill="1" applyBorder="1" applyAlignment="1">
      <alignment horizontal="left" vertical="top"/>
    </xf>
    <xf numFmtId="0" fontId="19" fillId="46" borderId="1" xfId="49" applyFont="1" applyFill="1" applyBorder="1" applyAlignment="1">
      <alignment horizontal="left" vertical="top"/>
    </xf>
    <xf numFmtId="0" fontId="17" fillId="44" borderId="1" xfId="49" applyFont="1" applyFill="1" applyBorder="1" applyAlignment="1">
      <alignment horizontal="left" vertical="top"/>
    </xf>
    <xf numFmtId="0" fontId="31" fillId="44" borderId="1" xfId="49" applyFont="1" applyFill="1" applyBorder="1" applyAlignment="1">
      <alignment horizontal="left" vertical="top" wrapText="1"/>
    </xf>
    <xf numFmtId="0" fontId="19" fillId="44" borderId="1" xfId="49" applyFont="1" applyFill="1" applyBorder="1" applyAlignment="1">
      <alignment horizontal="left" vertical="top"/>
    </xf>
    <xf numFmtId="0" fontId="17" fillId="48" borderId="1" xfId="49" applyFont="1" applyFill="1" applyBorder="1" applyAlignment="1">
      <alignment horizontal="left" vertical="top"/>
    </xf>
    <xf numFmtId="0" fontId="43" fillId="48" borderId="1" xfId="49" applyFont="1" applyFill="1" applyBorder="1" applyAlignment="1">
      <alignment horizontal="left" vertical="top" wrapText="1"/>
    </xf>
    <xf numFmtId="0" fontId="27" fillId="48" borderId="1" xfId="49" applyFont="1" applyFill="1" applyBorder="1" applyAlignment="1">
      <alignment horizontal="left" vertical="top" wrapText="1"/>
    </xf>
    <xf numFmtId="0" fontId="31" fillId="42" borderId="1" xfId="49" applyFont="1" applyFill="1" applyBorder="1" applyAlignment="1" applyProtection="1">
      <alignment horizontal="left" vertical="top" wrapText="1"/>
      <protection locked="0"/>
    </xf>
    <xf numFmtId="0" fontId="31" fillId="42" borderId="1" xfId="49" applyFont="1" applyFill="1" applyBorder="1" applyAlignment="1" applyProtection="1">
      <alignment horizontal="left" vertical="top"/>
      <protection locked="0"/>
    </xf>
    <xf numFmtId="0" fontId="27" fillId="42" borderId="1" xfId="49" applyFont="1" applyFill="1" applyBorder="1" applyAlignment="1" applyProtection="1">
      <alignment horizontal="left" vertical="top" wrapText="1"/>
      <protection locked="0"/>
    </xf>
    <xf numFmtId="0" fontId="27" fillId="42" borderId="1" xfId="49" applyFont="1" applyFill="1" applyBorder="1" applyAlignment="1" applyProtection="1">
      <alignment horizontal="left" vertical="top"/>
      <protection locked="0"/>
    </xf>
    <xf numFmtId="166" fontId="31" fillId="42" borderId="1" xfId="49" applyNumberFormat="1" applyFont="1" applyFill="1" applyBorder="1" applyAlignment="1">
      <alignment horizontal="left" vertical="top"/>
    </xf>
    <xf numFmtId="0" fontId="19" fillId="28" borderId="1" xfId="49" applyFont="1" applyFill="1" applyBorder="1" applyAlignment="1" applyProtection="1">
      <alignment horizontal="left" vertical="top"/>
      <protection locked="0"/>
    </xf>
    <xf numFmtId="166" fontId="27" fillId="42" borderId="1" xfId="49" applyNumberFormat="1" applyFont="1" applyFill="1" applyBorder="1" applyAlignment="1" applyProtection="1">
      <alignment horizontal="left" vertical="top"/>
      <protection locked="0"/>
    </xf>
    <xf numFmtId="167" fontId="19" fillId="28" borderId="1" xfId="49" applyNumberFormat="1" applyFont="1" applyFill="1" applyBorder="1" applyAlignment="1" applyProtection="1">
      <alignment horizontal="left" vertical="top"/>
      <protection locked="0"/>
    </xf>
    <xf numFmtId="166" fontId="19" fillId="28" borderId="1" xfId="49" applyNumberFormat="1" applyFont="1" applyFill="1" applyBorder="1" applyAlignment="1" applyProtection="1">
      <alignment horizontal="left" vertical="top" wrapText="1"/>
      <protection locked="0"/>
    </xf>
    <xf numFmtId="0" fontId="19" fillId="28" borderId="1" xfId="49" applyFont="1" applyFill="1" applyBorder="1" applyAlignment="1" applyProtection="1">
      <alignment horizontal="left" vertical="top" wrapText="1"/>
      <protection locked="0"/>
    </xf>
    <xf numFmtId="0" fontId="31" fillId="44" borderId="1" xfId="49" applyFont="1" applyFill="1" applyBorder="1" applyAlignment="1" applyProtection="1">
      <alignment horizontal="left" vertical="top" wrapText="1"/>
      <protection locked="0"/>
    </xf>
    <xf numFmtId="0" fontId="27" fillId="44" borderId="1" xfId="49" applyFont="1" applyFill="1" applyBorder="1" applyAlignment="1" applyProtection="1">
      <alignment horizontal="left" vertical="top" wrapText="1"/>
      <protection locked="0"/>
    </xf>
    <xf numFmtId="0" fontId="27" fillId="44" borderId="1" xfId="49" applyFont="1" applyFill="1" applyBorder="1" applyAlignment="1" applyProtection="1">
      <alignment horizontal="left" vertical="top"/>
      <protection locked="0"/>
    </xf>
    <xf numFmtId="0" fontId="43" fillId="48" borderId="1" xfId="49" applyFont="1" applyFill="1" applyBorder="1" applyAlignment="1" applyProtection="1">
      <alignment horizontal="left" vertical="top" wrapText="1"/>
      <protection locked="0"/>
    </xf>
    <xf numFmtId="0" fontId="43" fillId="44" borderId="1" xfId="49" applyFont="1" applyFill="1" applyBorder="1" applyAlignment="1">
      <alignment horizontal="left" vertical="top" wrapText="1"/>
    </xf>
    <xf numFmtId="0" fontId="17" fillId="49" borderId="1" xfId="49" applyFont="1" applyFill="1" applyBorder="1" applyAlignment="1">
      <alignment horizontal="left" vertical="top"/>
    </xf>
    <xf numFmtId="0" fontId="43" fillId="49" borderId="1" xfId="49" applyFont="1" applyFill="1" applyBorder="1" applyAlignment="1">
      <alignment horizontal="left" vertical="top" wrapText="1"/>
    </xf>
    <xf numFmtId="0" fontId="27" fillId="49" borderId="1" xfId="49" applyFont="1" applyFill="1" applyBorder="1" applyAlignment="1">
      <alignment horizontal="left" vertical="top" wrapText="1"/>
    </xf>
    <xf numFmtId="0" fontId="19" fillId="44" borderId="1" xfId="49" applyFont="1" applyFill="1" applyBorder="1" applyAlignment="1">
      <alignment horizontal="left" vertical="top" wrapText="1"/>
    </xf>
    <xf numFmtId="0" fontId="17" fillId="36" borderId="1" xfId="49" applyFont="1" applyFill="1" applyBorder="1" applyAlignment="1">
      <alignment horizontal="left" vertical="top"/>
    </xf>
    <xf numFmtId="0" fontId="17" fillId="36" borderId="1" xfId="49" applyFont="1" applyFill="1" applyBorder="1" applyAlignment="1">
      <alignment horizontal="left" vertical="top" wrapText="1"/>
    </xf>
    <xf numFmtId="0" fontId="31" fillId="36" borderId="1" xfId="49" applyFont="1" applyFill="1" applyBorder="1" applyAlignment="1">
      <alignment horizontal="left" vertical="top" wrapText="1"/>
    </xf>
    <xf numFmtId="0" fontId="31" fillId="50" borderId="1" xfId="49" applyFont="1" applyFill="1" applyBorder="1" applyAlignment="1">
      <alignment horizontal="left" vertical="top" wrapText="1"/>
    </xf>
    <xf numFmtId="0" fontId="17" fillId="50" borderId="1" xfId="49" applyFont="1" applyFill="1" applyBorder="1" applyAlignment="1">
      <alignment horizontal="left" vertical="top" wrapText="1"/>
    </xf>
    <xf numFmtId="0" fontId="19" fillId="36" borderId="1" xfId="49" applyFont="1" applyFill="1" applyBorder="1" applyAlignment="1">
      <alignment horizontal="left" vertical="top"/>
    </xf>
    <xf numFmtId="0" fontId="19" fillId="36" borderId="1" xfId="49" applyFont="1" applyFill="1" applyBorder="1" applyAlignment="1">
      <alignment horizontal="left" vertical="top" wrapText="1"/>
    </xf>
    <xf numFmtId="0" fontId="27" fillId="36" borderId="1" xfId="49" applyFont="1" applyFill="1" applyBorder="1" applyAlignment="1">
      <alignment horizontal="left" vertical="top" wrapText="1"/>
    </xf>
    <xf numFmtId="0" fontId="19" fillId="51" borderId="1" xfId="49" applyFont="1" applyFill="1" applyBorder="1" applyAlignment="1">
      <alignment horizontal="left" vertical="top" wrapText="1"/>
    </xf>
    <xf numFmtId="0" fontId="31" fillId="36" borderId="1" xfId="49" applyFont="1" applyFill="1" applyBorder="1" applyAlignment="1">
      <alignment horizontal="left" vertical="top"/>
    </xf>
    <xf numFmtId="0" fontId="27" fillId="36" borderId="1" xfId="49" applyFont="1" applyFill="1" applyBorder="1" applyAlignment="1">
      <alignment horizontal="left" vertical="top"/>
    </xf>
    <xf numFmtId="0" fontId="27" fillId="51" borderId="1" xfId="49" applyFont="1" applyFill="1" applyBorder="1" applyAlignment="1">
      <alignment horizontal="left" vertical="top" wrapText="1"/>
    </xf>
    <xf numFmtId="0" fontId="43" fillId="51" borderId="1" xfId="49" applyFont="1" applyFill="1" applyBorder="1" applyAlignment="1">
      <alignment horizontal="left" vertical="top" wrapText="1"/>
    </xf>
    <xf numFmtId="0" fontId="17" fillId="52" borderId="1" xfId="49" applyFont="1" applyFill="1" applyBorder="1" applyAlignment="1">
      <alignment horizontal="left" vertical="top" wrapText="1"/>
    </xf>
    <xf numFmtId="0" fontId="17" fillId="52" borderId="1" xfId="49" applyFont="1" applyFill="1" applyBorder="1" applyAlignment="1">
      <alignment horizontal="left" vertical="top"/>
    </xf>
    <xf numFmtId="0" fontId="17" fillId="43" borderId="1" xfId="49" applyFont="1" applyFill="1" applyBorder="1" applyAlignment="1">
      <alignment horizontal="left" vertical="top" wrapText="1"/>
    </xf>
    <xf numFmtId="0" fontId="17" fillId="42" borderId="3" xfId="49" applyFont="1" applyFill="1" applyBorder="1" applyAlignment="1">
      <alignment horizontal="left" vertical="top" wrapText="1"/>
    </xf>
    <xf numFmtId="0" fontId="19" fillId="42" borderId="3" xfId="49" applyFont="1" applyFill="1" applyBorder="1" applyAlignment="1">
      <alignment horizontal="left" vertical="top"/>
    </xf>
    <xf numFmtId="0" fontId="43" fillId="42" borderId="1" xfId="49" applyFont="1" applyFill="1" applyBorder="1" applyAlignment="1">
      <alignment horizontal="left" vertical="top" wrapText="1"/>
    </xf>
    <xf numFmtId="0" fontId="17" fillId="37" borderId="3" xfId="49" applyFont="1" applyFill="1" applyBorder="1" applyAlignment="1">
      <alignment horizontal="left" vertical="top"/>
    </xf>
    <xf numFmtId="0" fontId="17" fillId="37" borderId="1" xfId="49" applyFont="1" applyFill="1" applyBorder="1" applyAlignment="1">
      <alignment horizontal="left" vertical="top"/>
    </xf>
    <xf numFmtId="0" fontId="17" fillId="37" borderId="1" xfId="49" applyFont="1" applyFill="1" applyBorder="1" applyAlignment="1">
      <alignment horizontal="left" vertical="top" wrapText="1"/>
    </xf>
    <xf numFmtId="0" fontId="31" fillId="37" borderId="1" xfId="49" applyFont="1" applyFill="1" applyBorder="1" applyAlignment="1">
      <alignment horizontal="left" vertical="top" wrapText="1"/>
    </xf>
    <xf numFmtId="0" fontId="19" fillId="37" borderId="1" xfId="49" applyFont="1" applyFill="1" applyBorder="1" applyAlignment="1">
      <alignment horizontal="left" vertical="top"/>
    </xf>
    <xf numFmtId="0" fontId="19" fillId="37" borderId="1" xfId="49" applyFont="1" applyFill="1" applyBorder="1" applyAlignment="1">
      <alignment horizontal="left" vertical="top" wrapText="1"/>
    </xf>
    <xf numFmtId="0" fontId="27" fillId="37" borderId="1" xfId="49" applyFont="1" applyFill="1" applyBorder="1" applyAlignment="1">
      <alignment horizontal="left" vertical="top" wrapText="1"/>
    </xf>
    <xf numFmtId="0" fontId="27" fillId="37" borderId="1" xfId="49" applyFont="1" applyFill="1" applyBorder="1" applyAlignment="1">
      <alignment horizontal="left" vertical="top"/>
    </xf>
    <xf numFmtId="0" fontId="43" fillId="44" borderId="1" xfId="49" applyFont="1" applyFill="1" applyBorder="1" applyAlignment="1" applyProtection="1">
      <alignment horizontal="left" vertical="top" wrapText="1"/>
      <protection locked="0"/>
    </xf>
    <xf numFmtId="0" fontId="43" fillId="49" borderId="1" xfId="49" applyFont="1" applyFill="1" applyBorder="1" applyAlignment="1" applyProtection="1">
      <alignment horizontal="left" vertical="top" wrapText="1"/>
      <protection locked="0"/>
    </xf>
    <xf numFmtId="0" fontId="31" fillId="36" borderId="1" xfId="49" applyFont="1" applyFill="1" applyBorder="1" applyAlignment="1" applyProtection="1">
      <alignment horizontal="left" vertical="top" wrapText="1"/>
      <protection locked="0"/>
    </xf>
    <xf numFmtId="0" fontId="42" fillId="36" borderId="1" xfId="49" applyFont="1" applyFill="1" applyBorder="1" applyAlignment="1" applyProtection="1">
      <alignment horizontal="left" vertical="top" wrapText="1"/>
      <protection locked="0"/>
    </xf>
    <xf numFmtId="0" fontId="17" fillId="50" borderId="1" xfId="49" applyFont="1" applyFill="1" applyBorder="1" applyAlignment="1">
      <alignment horizontal="left" vertical="top"/>
    </xf>
    <xf numFmtId="0" fontId="43" fillId="36" borderId="1" xfId="49" applyFont="1" applyFill="1" applyBorder="1" applyAlignment="1" applyProtection="1">
      <alignment horizontal="left" vertical="top" wrapText="1"/>
      <protection locked="0"/>
    </xf>
    <xf numFmtId="0" fontId="43" fillId="36" borderId="1" xfId="49" applyFont="1" applyFill="1" applyBorder="1" applyAlignment="1" applyProtection="1">
      <alignment horizontal="left" vertical="top"/>
      <protection locked="0"/>
    </xf>
    <xf numFmtId="0" fontId="19" fillId="50" borderId="1" xfId="49" applyFont="1" applyFill="1" applyBorder="1" applyAlignment="1">
      <alignment horizontal="left" vertical="top"/>
    </xf>
    <xf numFmtId="0" fontId="19" fillId="50" borderId="1" xfId="49" applyFont="1" applyFill="1" applyBorder="1" applyAlignment="1">
      <alignment horizontal="left" vertical="top" wrapText="1"/>
    </xf>
    <xf numFmtId="0" fontId="27" fillId="36" borderId="1" xfId="49" applyFont="1" applyFill="1" applyBorder="1" applyAlignment="1" applyProtection="1">
      <alignment horizontal="left" vertical="top"/>
      <protection locked="0"/>
    </xf>
    <xf numFmtId="0" fontId="17" fillId="52" borderId="1" xfId="49" applyFont="1" applyFill="1" applyBorder="1" applyAlignment="1" applyProtection="1">
      <alignment horizontal="left" vertical="top" wrapText="1"/>
      <protection locked="0"/>
    </xf>
    <xf numFmtId="0" fontId="17" fillId="28" borderId="1" xfId="49" applyFont="1" applyFill="1" applyBorder="1" applyAlignment="1">
      <alignment horizontal="left" vertical="top"/>
    </xf>
    <xf numFmtId="0" fontId="17" fillId="28" borderId="1" xfId="49" applyFont="1" applyFill="1" applyBorder="1" applyAlignment="1">
      <alignment horizontal="left" vertical="top" wrapText="1"/>
    </xf>
    <xf numFmtId="0" fontId="43" fillId="42" borderId="1" xfId="49" applyFont="1" applyFill="1" applyBorder="1" applyAlignment="1" applyProtection="1">
      <alignment horizontal="left" vertical="top" wrapText="1"/>
      <protection locked="0"/>
    </xf>
    <xf numFmtId="0" fontId="31" fillId="37" borderId="1" xfId="49" applyFont="1" applyFill="1" applyBorder="1" applyAlignment="1" applyProtection="1">
      <alignment horizontal="left" vertical="top" wrapText="1"/>
      <protection locked="0"/>
    </xf>
    <xf numFmtId="0" fontId="31" fillId="37" borderId="1" xfId="49" applyFont="1" applyFill="1" applyBorder="1" applyAlignment="1" applyProtection="1">
      <alignment horizontal="left" vertical="top"/>
      <protection locked="0"/>
    </xf>
    <xf numFmtId="0" fontId="27" fillId="37" borderId="1" xfId="49" applyFont="1" applyFill="1" applyBorder="1" applyAlignment="1" applyProtection="1">
      <alignment horizontal="left" vertical="top" wrapText="1"/>
      <protection locked="0"/>
    </xf>
    <xf numFmtId="0" fontId="27" fillId="37" borderId="1" xfId="49" applyFont="1" applyFill="1" applyBorder="1" applyAlignment="1" applyProtection="1">
      <alignment horizontal="left" vertical="top"/>
      <protection locked="0"/>
    </xf>
    <xf numFmtId="0" fontId="17" fillId="42" borderId="3" xfId="49" applyFont="1" applyFill="1" applyBorder="1" applyAlignment="1">
      <alignment horizontal="left" vertical="top"/>
    </xf>
    <xf numFmtId="0" fontId="19" fillId="42" borderId="6" xfId="49" applyFont="1" applyFill="1" applyBorder="1" applyAlignment="1">
      <alignment horizontal="left" vertical="top" wrapText="1"/>
    </xf>
    <xf numFmtId="0" fontId="19" fillId="42" borderId="4" xfId="49" applyFont="1" applyFill="1" applyBorder="1" applyAlignment="1">
      <alignment horizontal="left" vertical="top" wrapText="1"/>
    </xf>
    <xf numFmtId="0" fontId="19" fillId="42" borderId="6" xfId="49" applyFont="1" applyFill="1" applyBorder="1" applyAlignment="1">
      <alignment horizontal="left" vertical="top"/>
    </xf>
    <xf numFmtId="0" fontId="27" fillId="42" borderId="4" xfId="49" applyFont="1" applyFill="1" applyBorder="1" applyAlignment="1">
      <alignment horizontal="left" vertical="top"/>
    </xf>
    <xf numFmtId="0" fontId="27" fillId="42" borderId="6" xfId="49" applyFont="1" applyFill="1" applyBorder="1" applyAlignment="1">
      <alignment horizontal="left" vertical="top"/>
    </xf>
    <xf numFmtId="0" fontId="17" fillId="53" borderId="1" xfId="49" applyFont="1" applyFill="1" applyBorder="1" applyAlignment="1">
      <alignment horizontal="left" vertical="top"/>
    </xf>
    <xf numFmtId="0" fontId="17" fillId="54" borderId="1" xfId="49" applyFont="1" applyFill="1" applyBorder="1" applyAlignment="1">
      <alignment horizontal="left" vertical="top" wrapText="1"/>
    </xf>
    <xf numFmtId="0" fontId="17" fillId="37" borderId="6" xfId="49" applyFont="1" applyFill="1" applyBorder="1" applyAlignment="1">
      <alignment horizontal="left" vertical="top" wrapText="1"/>
    </xf>
    <xf numFmtId="0" fontId="31" fillId="25" borderId="1" xfId="49" applyFont="1" applyFill="1" applyBorder="1" applyAlignment="1">
      <alignment horizontal="left" vertical="top"/>
    </xf>
    <xf numFmtId="0" fontId="31" fillId="25" borderId="1" xfId="49" applyFont="1" applyFill="1" applyBorder="1" applyAlignment="1">
      <alignment horizontal="left" vertical="top" wrapText="1"/>
    </xf>
    <xf numFmtId="0" fontId="31" fillId="25" borderId="4" xfId="49" applyFont="1" applyFill="1" applyBorder="1" applyAlignment="1">
      <alignment horizontal="left" vertical="top" wrapText="1"/>
    </xf>
    <xf numFmtId="0" fontId="31" fillId="25" borderId="5" xfId="49" applyFont="1" applyFill="1" applyBorder="1" applyAlignment="1">
      <alignment horizontal="left" vertical="top" wrapText="1"/>
    </xf>
    <xf numFmtId="0" fontId="27" fillId="25" borderId="1" xfId="49" applyFont="1" applyFill="1" applyBorder="1" applyAlignment="1">
      <alignment horizontal="left" vertical="top"/>
    </xf>
    <xf numFmtId="0" fontId="27" fillId="25" borderId="1" xfId="49" applyFont="1" applyFill="1" applyBorder="1" applyAlignment="1">
      <alignment horizontal="left" vertical="top" wrapText="1"/>
    </xf>
    <xf numFmtId="0" fontId="27" fillId="25" borderId="4" xfId="49" applyFont="1" applyFill="1" applyBorder="1" applyAlignment="1">
      <alignment horizontal="left" vertical="top" wrapText="1"/>
    </xf>
    <xf numFmtId="0" fontId="27" fillId="25" borderId="10" xfId="49" applyFont="1" applyFill="1" applyBorder="1" applyAlignment="1">
      <alignment horizontal="left" vertical="top" wrapText="1"/>
    </xf>
    <xf numFmtId="0" fontId="27" fillId="25" borderId="3" xfId="49" applyFont="1" applyFill="1" applyBorder="1" applyAlignment="1">
      <alignment horizontal="left" vertical="top"/>
    </xf>
    <xf numFmtId="0" fontId="27" fillId="25" borderId="3" xfId="49" applyFont="1" applyFill="1" applyBorder="1" applyAlignment="1">
      <alignment horizontal="left" vertical="top" wrapText="1"/>
    </xf>
    <xf numFmtId="1" fontId="17" fillId="42" borderId="1" xfId="49" applyNumberFormat="1" applyFont="1" applyFill="1" applyBorder="1" applyAlignment="1">
      <alignment horizontal="left" vertical="top"/>
    </xf>
    <xf numFmtId="166" fontId="43" fillId="42" borderId="1" xfId="49" applyNumberFormat="1" applyFont="1" applyFill="1" applyBorder="1" applyAlignment="1" applyProtection="1">
      <alignment horizontal="left" vertical="top"/>
      <protection locked="0"/>
    </xf>
    <xf numFmtId="0" fontId="43" fillId="42" borderId="6" xfId="49" applyFont="1" applyFill="1" applyBorder="1" applyAlignment="1" applyProtection="1">
      <alignment horizontal="left" vertical="top"/>
      <protection locked="0"/>
    </xf>
    <xf numFmtId="0" fontId="15" fillId="28" borderId="0" xfId="49" applyFill="1" applyAlignment="1">
      <alignment wrapText="1"/>
    </xf>
    <xf numFmtId="0" fontId="19" fillId="42" borderId="0" xfId="49" applyFont="1" applyFill="1" applyAlignment="1">
      <alignment horizontal="left" vertical="top"/>
    </xf>
    <xf numFmtId="1" fontId="43" fillId="42" borderId="1" xfId="49" applyNumberFormat="1" applyFont="1" applyFill="1" applyBorder="1" applyAlignment="1" applyProtection="1">
      <alignment horizontal="left" vertical="top"/>
      <protection locked="0"/>
    </xf>
    <xf numFmtId="0" fontId="27" fillId="42" borderId="6" xfId="49" applyFont="1" applyFill="1" applyBorder="1" applyAlignment="1">
      <alignment horizontal="left" vertical="top" wrapText="1"/>
    </xf>
    <xf numFmtId="1" fontId="27" fillId="42" borderId="6" xfId="49" applyNumberFormat="1" applyFont="1" applyFill="1" applyBorder="1" applyAlignment="1" applyProtection="1">
      <alignment horizontal="left" vertical="top"/>
      <protection locked="0"/>
    </xf>
    <xf numFmtId="0" fontId="27" fillId="42" borderId="6" xfId="49" applyFont="1" applyFill="1" applyBorder="1" applyAlignment="1" applyProtection="1">
      <alignment horizontal="left" vertical="top"/>
      <protection locked="0"/>
    </xf>
    <xf numFmtId="0" fontId="42" fillId="54" borderId="1" xfId="49" applyFont="1" applyFill="1" applyBorder="1" applyAlignment="1" applyProtection="1">
      <alignment horizontal="left" vertical="top" wrapText="1"/>
      <protection locked="0"/>
    </xf>
    <xf numFmtId="0" fontId="17" fillId="37" borderId="6" xfId="49" applyFont="1" applyFill="1" applyBorder="1" applyAlignment="1">
      <alignment horizontal="left" vertical="top"/>
    </xf>
    <xf numFmtId="0" fontId="31" fillId="25" borderId="4" xfId="49" applyFont="1" applyFill="1" applyBorder="1" applyAlignment="1">
      <alignment horizontal="left" vertical="top"/>
    </xf>
    <xf numFmtId="0" fontId="31" fillId="25" borderId="7" xfId="49" applyFont="1" applyFill="1" applyBorder="1" applyAlignment="1">
      <alignment horizontal="left" vertical="top"/>
    </xf>
    <xf numFmtId="0" fontId="27" fillId="25" borderId="4" xfId="49" applyFont="1" applyFill="1" applyBorder="1" applyAlignment="1">
      <alignment horizontal="left" vertical="top"/>
    </xf>
    <xf numFmtId="0" fontId="27" fillId="25" borderId="1" xfId="49" applyFont="1" applyFill="1" applyBorder="1" applyAlignment="1" applyProtection="1">
      <alignment horizontal="left" vertical="top" wrapText="1"/>
      <protection locked="0"/>
    </xf>
    <xf numFmtId="0" fontId="27" fillId="25" borderId="7" xfId="49" applyFont="1" applyFill="1" applyBorder="1" applyAlignment="1">
      <alignment horizontal="left" vertical="top"/>
    </xf>
    <xf numFmtId="0" fontId="27" fillId="25" borderId="6" xfId="49" applyFont="1" applyFill="1" applyBorder="1" applyAlignment="1" applyProtection="1">
      <alignment horizontal="left" vertical="top" wrapText="1"/>
      <protection locked="0"/>
    </xf>
    <xf numFmtId="0" fontId="44" fillId="28" borderId="0" xfId="49" applyFont="1" applyFill="1" applyAlignment="1">
      <alignment wrapText="1"/>
    </xf>
    <xf numFmtId="0" fontId="31" fillId="25" borderId="3" xfId="49" applyFont="1" applyFill="1" applyBorder="1" applyAlignment="1">
      <alignment horizontal="left" vertical="top"/>
    </xf>
    <xf numFmtId="0" fontId="31" fillId="25" borderId="2" xfId="49" applyFont="1" applyFill="1" applyBorder="1" applyAlignment="1">
      <alignment horizontal="left" vertical="top" wrapText="1"/>
    </xf>
    <xf numFmtId="0" fontId="27" fillId="26" borderId="1" xfId="49" applyFont="1" applyFill="1" applyBorder="1" applyAlignment="1">
      <alignment horizontal="left" vertical="top" wrapText="1"/>
    </xf>
    <xf numFmtId="0" fontId="31" fillId="23" borderId="1" xfId="49" applyFont="1" applyFill="1" applyBorder="1" applyAlignment="1">
      <alignment horizontal="left" vertical="top" wrapText="1"/>
    </xf>
    <xf numFmtId="0" fontId="17" fillId="31" borderId="1" xfId="49" applyFont="1" applyFill="1" applyBorder="1" applyAlignment="1">
      <alignment horizontal="left" vertical="top" wrapText="1"/>
    </xf>
    <xf numFmtId="0" fontId="17" fillId="31" borderId="6" xfId="49" applyFont="1" applyFill="1" applyBorder="1" applyAlignment="1">
      <alignment horizontal="left" vertical="top" wrapText="1"/>
    </xf>
    <xf numFmtId="0" fontId="31" fillId="26" borderId="1" xfId="49" applyFont="1" applyFill="1" applyBorder="1" applyAlignment="1">
      <alignment horizontal="left" vertical="top" wrapText="1"/>
    </xf>
    <xf numFmtId="0" fontId="31" fillId="23" borderId="1" xfId="49" applyFont="1" applyFill="1" applyBorder="1" applyAlignment="1">
      <alignment horizontal="left" vertical="top"/>
    </xf>
    <xf numFmtId="0" fontId="19" fillId="31" borderId="1" xfId="49" applyFont="1" applyFill="1" applyBorder="1" applyAlignment="1">
      <alignment horizontal="left" vertical="top"/>
    </xf>
    <xf numFmtId="0" fontId="19" fillId="31" borderId="6" xfId="49" applyFont="1" applyFill="1" applyBorder="1" applyAlignment="1">
      <alignment horizontal="left" vertical="top" wrapText="1"/>
    </xf>
    <xf numFmtId="0" fontId="27" fillId="26" borderId="1" xfId="49" applyFont="1" applyFill="1" applyBorder="1" applyAlignment="1">
      <alignment horizontal="left" vertical="top"/>
    </xf>
    <xf numFmtId="0" fontId="31" fillId="55" borderId="1" xfId="49" applyFont="1" applyFill="1" applyBorder="1" applyAlignment="1">
      <alignment horizontal="left" vertical="top"/>
    </xf>
    <xf numFmtId="0" fontId="31" fillId="55" borderId="1" xfId="49" applyFont="1" applyFill="1" applyBorder="1" applyAlignment="1">
      <alignment horizontal="left" vertical="top" wrapText="1"/>
    </xf>
    <xf numFmtId="0" fontId="27" fillId="55" borderId="1" xfId="49" applyFont="1" applyFill="1" applyBorder="1" applyAlignment="1">
      <alignment horizontal="left" vertical="top"/>
    </xf>
    <xf numFmtId="0" fontId="27" fillId="55" borderId="1" xfId="49" applyFont="1" applyFill="1" applyBorder="1" applyAlignment="1">
      <alignment horizontal="left" vertical="top" wrapText="1"/>
    </xf>
    <xf numFmtId="0" fontId="31" fillId="15" borderId="1" xfId="49" applyFont="1" applyFill="1" applyBorder="1" applyAlignment="1">
      <alignment horizontal="left" vertical="top" wrapText="1"/>
    </xf>
    <xf numFmtId="0" fontId="27" fillId="15" borderId="1" xfId="49" applyFont="1" applyFill="1" applyBorder="1" applyAlignment="1">
      <alignment horizontal="left" vertical="top" wrapText="1"/>
    </xf>
    <xf numFmtId="0" fontId="19" fillId="15" borderId="1" xfId="49" applyFont="1" applyFill="1" applyBorder="1" applyAlignment="1">
      <alignment horizontal="left" vertical="top" wrapText="1"/>
    </xf>
    <xf numFmtId="0" fontId="17" fillId="15" borderId="1" xfId="49" applyFont="1" applyFill="1" applyBorder="1" applyAlignment="1">
      <alignment horizontal="left" vertical="top" wrapText="1"/>
    </xf>
    <xf numFmtId="0" fontId="19" fillId="56" borderId="1" xfId="49" applyFont="1" applyFill="1" applyBorder="1" applyAlignment="1">
      <alignment horizontal="left" vertical="top"/>
    </xf>
    <xf numFmtId="0" fontId="19" fillId="30" borderId="1" xfId="49" applyFont="1" applyFill="1" applyBorder="1" applyAlignment="1">
      <alignment horizontal="left" vertical="top"/>
    </xf>
    <xf numFmtId="0" fontId="19" fillId="18" borderId="1" xfId="49" applyFont="1" applyFill="1" applyBorder="1" applyAlignment="1">
      <alignment horizontal="left" vertical="top" wrapText="1"/>
    </xf>
    <xf numFmtId="0" fontId="27" fillId="18" borderId="1" xfId="49" applyFont="1" applyFill="1" applyBorder="1" applyAlignment="1">
      <alignment horizontal="left" vertical="top" wrapText="1"/>
    </xf>
    <xf numFmtId="0" fontId="17" fillId="18" borderId="1" xfId="49" applyFont="1" applyFill="1" applyBorder="1" applyAlignment="1">
      <alignment horizontal="left" vertical="top" wrapText="1"/>
    </xf>
    <xf numFmtId="0" fontId="17" fillId="57" borderId="1" xfId="49" applyFont="1" applyFill="1" applyBorder="1" applyAlignment="1">
      <alignment horizontal="left" vertical="top" wrapText="1"/>
    </xf>
    <xf numFmtId="0" fontId="17" fillId="58" borderId="1" xfId="49" applyFont="1" applyFill="1" applyBorder="1" applyAlignment="1">
      <alignment horizontal="left" vertical="top" wrapText="1"/>
    </xf>
    <xf numFmtId="0" fontId="17" fillId="58" borderId="1" xfId="49" applyFont="1" applyFill="1" applyBorder="1" applyAlignment="1">
      <alignment horizontal="left" vertical="top"/>
    </xf>
    <xf numFmtId="0" fontId="19" fillId="59" borderId="1" xfId="49" applyFont="1" applyFill="1" applyBorder="1" applyAlignment="1">
      <alignment horizontal="left" vertical="top"/>
    </xf>
    <xf numFmtId="0" fontId="19" fillId="59" borderId="1" xfId="49" applyFont="1" applyFill="1" applyBorder="1" applyAlignment="1">
      <alignment horizontal="left" vertical="top" wrapText="1"/>
    </xf>
    <xf numFmtId="0" fontId="17" fillId="59" borderId="1" xfId="49" applyFont="1" applyFill="1" applyBorder="1" applyAlignment="1">
      <alignment horizontal="left" vertical="top"/>
    </xf>
    <xf numFmtId="0" fontId="19" fillId="58" borderId="1" xfId="49" applyFont="1" applyFill="1" applyBorder="1" applyAlignment="1">
      <alignment horizontal="left" vertical="top"/>
    </xf>
    <xf numFmtId="0" fontId="27" fillId="58" borderId="1" xfId="49" applyFont="1" applyFill="1" applyBorder="1" applyAlignment="1">
      <alignment horizontal="left" vertical="top" wrapText="1"/>
    </xf>
    <xf numFmtId="0" fontId="17" fillId="60" borderId="1" xfId="49" applyFont="1" applyFill="1" applyBorder="1" applyAlignment="1">
      <alignment horizontal="left" vertical="top" wrapText="1"/>
    </xf>
    <xf numFmtId="0" fontId="17" fillId="61" borderId="1" xfId="49" applyFont="1" applyFill="1" applyBorder="1" applyAlignment="1">
      <alignment horizontal="left" vertical="top"/>
    </xf>
    <xf numFmtId="0" fontId="17" fillId="61" borderId="1" xfId="49" applyFont="1" applyFill="1" applyBorder="1" applyAlignment="1">
      <alignment horizontal="left" vertical="top" wrapText="1"/>
    </xf>
    <xf numFmtId="0" fontId="31" fillId="61" borderId="1" xfId="49" applyFont="1" applyFill="1" applyBorder="1" applyAlignment="1">
      <alignment horizontal="left" vertical="top" wrapText="1"/>
    </xf>
    <xf numFmtId="0" fontId="17" fillId="59" borderId="1" xfId="49" applyFont="1" applyFill="1" applyBorder="1" applyAlignment="1">
      <alignment horizontal="left" vertical="top" wrapText="1"/>
    </xf>
    <xf numFmtId="0" fontId="19" fillId="61" borderId="1" xfId="49" applyFont="1" applyFill="1" applyBorder="1" applyAlignment="1">
      <alignment horizontal="left" vertical="top"/>
    </xf>
    <xf numFmtId="0" fontId="27" fillId="61" borderId="1" xfId="49" applyFont="1" applyFill="1" applyBorder="1" applyAlignment="1">
      <alignment horizontal="left" vertical="top" wrapText="1"/>
    </xf>
    <xf numFmtId="0" fontId="17" fillId="62" borderId="1" xfId="49" applyFont="1" applyFill="1" applyBorder="1" applyAlignment="1">
      <alignment horizontal="left" vertical="top" wrapText="1"/>
    </xf>
    <xf numFmtId="0" fontId="17" fillId="38" borderId="1" xfId="49" applyFont="1" applyFill="1" applyBorder="1" applyAlignment="1">
      <alignment horizontal="left" vertical="top"/>
    </xf>
    <xf numFmtId="0" fontId="31" fillId="38" borderId="1" xfId="49" applyFont="1" applyFill="1" applyBorder="1" applyAlignment="1">
      <alignment horizontal="left" vertical="top" wrapText="1"/>
    </xf>
    <xf numFmtId="0" fontId="19" fillId="38" borderId="1" xfId="49" applyFont="1" applyFill="1" applyBorder="1" applyAlignment="1">
      <alignment horizontal="left" vertical="top"/>
    </xf>
    <xf numFmtId="0" fontId="27" fillId="38" borderId="1" xfId="49" applyFont="1" applyFill="1" applyBorder="1" applyAlignment="1">
      <alignment horizontal="left" vertical="top" wrapText="1"/>
    </xf>
    <xf numFmtId="0" fontId="31" fillId="25" borderId="1" xfId="49" applyFont="1" applyFill="1" applyBorder="1" applyAlignment="1" applyProtection="1">
      <alignment horizontal="left" vertical="top" wrapText="1"/>
      <protection locked="0"/>
    </xf>
    <xf numFmtId="0" fontId="31" fillId="25" borderId="1" xfId="49" applyFont="1" applyFill="1" applyBorder="1" applyAlignment="1" applyProtection="1">
      <alignment horizontal="left" vertical="top"/>
      <protection locked="0"/>
    </xf>
    <xf numFmtId="0" fontId="27" fillId="25" borderId="1" xfId="49" applyFont="1" applyFill="1" applyBorder="1" applyAlignment="1" applyProtection="1">
      <alignment horizontal="left" vertical="top"/>
      <protection locked="0"/>
    </xf>
    <xf numFmtId="0" fontId="31" fillId="15" borderId="1" xfId="49" applyFont="1" applyFill="1" applyBorder="1" applyAlignment="1" applyProtection="1">
      <alignment horizontal="left" vertical="top" wrapText="1"/>
      <protection locked="0"/>
    </xf>
    <xf numFmtId="0" fontId="27" fillId="15" borderId="1" xfId="49" applyFont="1" applyFill="1" applyBorder="1" applyAlignment="1" applyProtection="1">
      <alignment horizontal="left" vertical="top"/>
      <protection locked="0"/>
    </xf>
    <xf numFmtId="0" fontId="31" fillId="55" borderId="1" xfId="49" applyFont="1" applyFill="1" applyBorder="1" applyAlignment="1" applyProtection="1">
      <alignment horizontal="left" vertical="top" wrapText="1"/>
      <protection locked="0"/>
    </xf>
    <xf numFmtId="0" fontId="31" fillId="55" borderId="1" xfId="49" applyFont="1" applyFill="1" applyBorder="1" applyAlignment="1" applyProtection="1">
      <alignment horizontal="left" vertical="top"/>
      <protection locked="0"/>
    </xf>
    <xf numFmtId="0" fontId="27" fillId="55" borderId="1" xfId="49" applyFont="1" applyFill="1" applyBorder="1" applyAlignment="1" applyProtection="1">
      <alignment horizontal="left" vertical="top"/>
      <protection locked="0"/>
    </xf>
    <xf numFmtId="0" fontId="27" fillId="55" borderId="1" xfId="49" applyFont="1" applyFill="1" applyBorder="1" applyAlignment="1" applyProtection="1">
      <alignment horizontal="left" vertical="top" wrapText="1"/>
      <protection locked="0"/>
    </xf>
    <xf numFmtId="0" fontId="27" fillId="55" borderId="6" xfId="49" applyFont="1" applyFill="1" applyBorder="1" applyAlignment="1">
      <alignment horizontal="left" vertical="top" wrapText="1"/>
    </xf>
    <xf numFmtId="0" fontId="27" fillId="15" borderId="1" xfId="49" applyFont="1" applyFill="1" applyBorder="1" applyAlignment="1" applyProtection="1">
      <alignment horizontal="left" vertical="top" wrapText="1"/>
      <protection locked="0"/>
    </xf>
    <xf numFmtId="0" fontId="43" fillId="15" borderId="1" xfId="49" applyFont="1" applyFill="1" applyBorder="1" applyAlignment="1" applyProtection="1">
      <alignment horizontal="left" vertical="top" wrapText="1"/>
      <protection locked="0"/>
    </xf>
    <xf numFmtId="0" fontId="43" fillId="18" borderId="1" xfId="49" applyFont="1" applyFill="1" applyBorder="1" applyAlignment="1" applyProtection="1">
      <alignment horizontal="left" vertical="top" wrapText="1"/>
      <protection locked="0"/>
    </xf>
    <xf numFmtId="0" fontId="27" fillId="18" borderId="1" xfId="49" applyFont="1" applyFill="1" applyBorder="1" applyAlignment="1" applyProtection="1">
      <alignment horizontal="left" vertical="top" wrapText="1"/>
      <protection locked="0"/>
    </xf>
    <xf numFmtId="0" fontId="42" fillId="59" borderId="1" xfId="49" applyFont="1" applyFill="1" applyBorder="1" applyAlignment="1" applyProtection="1">
      <alignment horizontal="left" vertical="top" wrapText="1"/>
      <protection locked="0"/>
    </xf>
    <xf numFmtId="0" fontId="42" fillId="59" borderId="1" xfId="49" applyFont="1" applyFill="1" applyBorder="1" applyAlignment="1" applyProtection="1">
      <alignment horizontal="left" vertical="top"/>
      <protection locked="0"/>
    </xf>
    <xf numFmtId="0" fontId="43" fillId="59" borderId="1" xfId="49" applyFont="1" applyFill="1" applyBorder="1" applyAlignment="1" applyProtection="1">
      <alignment horizontal="left" vertical="top" wrapText="1"/>
      <protection locked="0"/>
    </xf>
    <xf numFmtId="0" fontId="43" fillId="59" borderId="1" xfId="49" applyFont="1" applyFill="1" applyBorder="1" applyAlignment="1" applyProtection="1">
      <alignment horizontal="left" vertical="top"/>
      <protection locked="0"/>
    </xf>
    <xf numFmtId="0" fontId="42" fillId="63" borderId="1" xfId="49" applyFont="1" applyFill="1" applyBorder="1" applyAlignment="1" applyProtection="1">
      <alignment horizontal="left" vertical="top" wrapText="1"/>
      <protection locked="0"/>
    </xf>
    <xf numFmtId="0" fontId="43" fillId="63" borderId="1" xfId="49" applyFont="1" applyFill="1" applyBorder="1" applyAlignment="1" applyProtection="1">
      <alignment horizontal="left" vertical="top" wrapText="1"/>
      <protection locked="0"/>
    </xf>
    <xf numFmtId="0" fontId="31" fillId="0" borderId="0" xfId="49" applyFont="1" applyAlignment="1">
      <alignment horizontal="left" vertical="top" wrapText="1"/>
    </xf>
    <xf numFmtId="0" fontId="43" fillId="0" borderId="0" xfId="49" applyFont="1" applyAlignment="1" applyProtection="1">
      <alignment horizontal="left" vertical="top" wrapText="1"/>
      <protection locked="0"/>
    </xf>
    <xf numFmtId="0" fontId="45" fillId="0" borderId="0" xfId="33" applyFont="1"/>
    <xf numFmtId="0" fontId="41" fillId="0" borderId="0" xfId="33" applyFont="1"/>
    <xf numFmtId="0" fontId="15" fillId="0" borderId="0" xfId="33" applyFont="1"/>
    <xf numFmtId="0" fontId="22" fillId="0" borderId="0" xfId="109"/>
    <xf numFmtId="0" fontId="22" fillId="0" borderId="0" xfId="33"/>
    <xf numFmtId="0" fontId="23" fillId="66" borderId="1" xfId="33" applyFont="1" applyFill="1" applyBorder="1" applyAlignment="1">
      <alignment horizontal="left" vertical="center" wrapText="1"/>
    </xf>
    <xf numFmtId="0" fontId="40" fillId="34" borderId="1" xfId="33" applyFont="1" applyFill="1" applyBorder="1" applyAlignment="1">
      <alignment horizontal="left" vertical="top"/>
    </xf>
    <xf numFmtId="0" fontId="40" fillId="27" borderId="1" xfId="33" applyFont="1" applyFill="1" applyBorder="1" applyAlignment="1">
      <alignment horizontal="left" vertical="top"/>
    </xf>
    <xf numFmtId="0" fontId="40" fillId="34" borderId="6" xfId="33" applyFont="1" applyFill="1" applyBorder="1" applyAlignment="1">
      <alignment horizontal="left" vertical="top"/>
    </xf>
    <xf numFmtId="0" fontId="41" fillId="34" borderId="6" xfId="33" applyFont="1" applyFill="1" applyBorder="1" applyAlignment="1">
      <alignment horizontal="left" vertical="top" wrapText="1"/>
    </xf>
    <xf numFmtId="0" fontId="46" fillId="0" borderId="9" xfId="33" applyFont="1" applyBorder="1" applyAlignment="1">
      <alignment vertical="top" wrapText="1"/>
    </xf>
    <xf numFmtId="0" fontId="46" fillId="0" borderId="0" xfId="33" applyFont="1" applyAlignment="1">
      <alignment vertical="top" wrapText="1"/>
    </xf>
    <xf numFmtId="0" fontId="40" fillId="10" borderId="1" xfId="33" applyFont="1" applyFill="1" applyBorder="1" applyAlignment="1">
      <alignment horizontal="left" vertical="top"/>
    </xf>
    <xf numFmtId="0" fontId="40" fillId="10" borderId="6" xfId="33" applyFont="1" applyFill="1" applyBorder="1" applyAlignment="1">
      <alignment horizontal="left" vertical="top"/>
    </xf>
    <xf numFmtId="0" fontId="47" fillId="10" borderId="1" xfId="33" applyFont="1" applyFill="1" applyBorder="1" applyAlignment="1">
      <alignment horizontal="left" vertical="top" wrapText="1"/>
    </xf>
    <xf numFmtId="0" fontId="41" fillId="10" borderId="1" xfId="33" applyFont="1" applyFill="1" applyBorder="1" applyAlignment="1">
      <alignment horizontal="left" vertical="top" wrapText="1"/>
    </xf>
    <xf numFmtId="0" fontId="41" fillId="27" borderId="1" xfId="33" applyFont="1" applyFill="1" applyBorder="1" applyAlignment="1">
      <alignment horizontal="left" vertical="top" wrapText="1"/>
    </xf>
    <xf numFmtId="0" fontId="40" fillId="14" borderId="1" xfId="33" applyFont="1" applyFill="1" applyBorder="1" applyAlignment="1">
      <alignment horizontal="left" vertical="top"/>
    </xf>
    <xf numFmtId="0" fontId="40" fillId="14" borderId="6" xfId="33" applyFont="1" applyFill="1" applyBorder="1" applyAlignment="1">
      <alignment horizontal="left" vertical="top" wrapText="1"/>
    </xf>
    <xf numFmtId="0" fontId="41" fillId="14" borderId="1" xfId="33" applyFont="1" applyFill="1" applyBorder="1" applyAlignment="1">
      <alignment horizontal="left" vertical="top" wrapText="1"/>
    </xf>
    <xf numFmtId="0" fontId="40" fillId="14" borderId="6" xfId="33" applyFont="1" applyFill="1" applyBorder="1" applyAlignment="1">
      <alignment horizontal="left" vertical="top"/>
    </xf>
    <xf numFmtId="0" fontId="40" fillId="0" borderId="1" xfId="33" applyFont="1" applyBorder="1" applyAlignment="1">
      <alignment horizontal="left" vertical="top"/>
    </xf>
    <xf numFmtId="0" fontId="40" fillId="15" borderId="1" xfId="33" applyFont="1" applyFill="1" applyBorder="1" applyAlignment="1">
      <alignment horizontal="left" vertical="top"/>
    </xf>
    <xf numFmtId="0" fontId="40" fillId="15" borderId="1" xfId="33" applyFont="1" applyFill="1" applyBorder="1" applyAlignment="1">
      <alignment horizontal="left" vertical="top" wrapText="1"/>
    </xf>
    <xf numFmtId="0" fontId="41" fillId="15" borderId="1" xfId="33" applyFont="1" applyFill="1" applyBorder="1" applyAlignment="1">
      <alignment horizontal="left" vertical="top"/>
    </xf>
    <xf numFmtId="0" fontId="41" fillId="15" borderId="1" xfId="33" applyFont="1" applyFill="1" applyBorder="1" applyAlignment="1">
      <alignment horizontal="left" vertical="top" wrapText="1"/>
    </xf>
    <xf numFmtId="0" fontId="40" fillId="15" borderId="6" xfId="33" applyFont="1" applyFill="1" applyBorder="1" applyAlignment="1">
      <alignment horizontal="left" vertical="top"/>
    </xf>
    <xf numFmtId="0" fontId="41" fillId="15" borderId="6" xfId="33" applyFont="1" applyFill="1" applyBorder="1"/>
    <xf numFmtId="0" fontId="41" fillId="15" borderId="6" xfId="33" applyFont="1" applyFill="1" applyBorder="1" applyAlignment="1">
      <alignment horizontal="left" vertical="top"/>
    </xf>
    <xf numFmtId="0" fontId="41" fillId="15" borderId="6" xfId="33" applyFont="1" applyFill="1" applyBorder="1" applyAlignment="1">
      <alignment horizontal="left" vertical="top" wrapText="1"/>
    </xf>
    <xf numFmtId="0" fontId="40" fillId="68" borderId="1" xfId="33" applyFont="1" applyFill="1" applyBorder="1" applyAlignment="1">
      <alignment horizontal="left" vertical="top"/>
    </xf>
    <xf numFmtId="0" fontId="40" fillId="16" borderId="1" xfId="33" applyFont="1" applyFill="1" applyBorder="1" applyAlignment="1">
      <alignment horizontal="left" vertical="top"/>
    </xf>
    <xf numFmtId="0" fontId="41" fillId="16" borderId="6" xfId="33" applyFont="1" applyFill="1" applyBorder="1" applyAlignment="1">
      <alignment horizontal="left" vertical="top" wrapText="1"/>
    </xf>
    <xf numFmtId="0" fontId="41" fillId="68" borderId="6" xfId="33" applyFont="1" applyFill="1" applyBorder="1"/>
    <xf numFmtId="0" fontId="41" fillId="16" borderId="1" xfId="33" applyFont="1" applyFill="1" applyBorder="1" applyAlignment="1">
      <alignment horizontal="left" vertical="top"/>
    </xf>
    <xf numFmtId="0" fontId="41" fillId="16" borderId="6" xfId="33" applyFont="1" applyFill="1" applyBorder="1" applyAlignment="1">
      <alignment horizontal="left" vertical="top"/>
    </xf>
    <xf numFmtId="0" fontId="40" fillId="40" borderId="1" xfId="33" applyFont="1" applyFill="1" applyBorder="1" applyAlignment="1">
      <alignment horizontal="left" vertical="top"/>
    </xf>
    <xf numFmtId="0" fontId="40" fillId="18" borderId="1" xfId="33" applyFont="1" applyFill="1" applyBorder="1" applyAlignment="1">
      <alignment horizontal="left" vertical="top"/>
    </xf>
    <xf numFmtId="0" fontId="40" fillId="18" borderId="1" xfId="33" applyFont="1" applyFill="1" applyBorder="1" applyAlignment="1">
      <alignment horizontal="left" vertical="top" wrapText="1"/>
    </xf>
    <xf numFmtId="0" fontId="41" fillId="18" borderId="1" xfId="33" applyFont="1" applyFill="1" applyBorder="1" applyAlignment="1">
      <alignment horizontal="left" vertical="top"/>
    </xf>
    <xf numFmtId="0" fontId="41" fillId="18" borderId="1" xfId="33" applyFont="1" applyFill="1" applyBorder="1" applyAlignment="1">
      <alignment horizontal="left" vertical="top" wrapText="1"/>
    </xf>
    <xf numFmtId="0" fontId="41" fillId="18" borderId="6" xfId="33" applyFont="1" applyFill="1" applyBorder="1" applyAlignment="1">
      <alignment horizontal="left" vertical="top" wrapText="1"/>
    </xf>
    <xf numFmtId="0" fontId="41" fillId="18" borderId="6" xfId="33" applyFont="1" applyFill="1" applyBorder="1" applyAlignment="1">
      <alignment horizontal="left" vertical="top"/>
    </xf>
    <xf numFmtId="0" fontId="40" fillId="19" borderId="1" xfId="33" applyFont="1" applyFill="1" applyBorder="1" applyAlignment="1">
      <alignment horizontal="left" vertical="top"/>
    </xf>
    <xf numFmtId="0" fontId="40" fillId="19" borderId="1" xfId="33" applyFont="1" applyFill="1" applyBorder="1" applyAlignment="1">
      <alignment horizontal="left" vertical="top" wrapText="1"/>
    </xf>
    <xf numFmtId="0" fontId="41" fillId="19" borderId="1" xfId="33" applyFont="1" applyFill="1" applyBorder="1"/>
    <xf numFmtId="0" fontId="41" fillId="19" borderId="1" xfId="33" applyFont="1" applyFill="1" applyBorder="1" applyAlignment="1">
      <alignment horizontal="left" vertical="top"/>
    </xf>
    <xf numFmtId="0" fontId="41" fillId="19" borderId="6" xfId="33" applyFont="1" applyFill="1" applyBorder="1" applyAlignment="1">
      <alignment horizontal="left" vertical="top"/>
    </xf>
    <xf numFmtId="0" fontId="41" fillId="19" borderId="1" xfId="33" applyFont="1" applyFill="1" applyBorder="1" applyAlignment="1">
      <alignment horizontal="left" vertical="top" wrapText="1"/>
    </xf>
    <xf numFmtId="0" fontId="40" fillId="35" borderId="1" xfId="33" applyFont="1" applyFill="1" applyBorder="1" applyAlignment="1">
      <alignment horizontal="left" vertical="top"/>
    </xf>
    <xf numFmtId="0" fontId="40" fillId="35" borderId="1" xfId="33" applyFont="1" applyFill="1" applyBorder="1" applyAlignment="1">
      <alignment horizontal="left" vertical="top" wrapText="1"/>
    </xf>
    <xf numFmtId="0" fontId="41" fillId="35" borderId="6" xfId="33" applyFont="1" applyFill="1" applyBorder="1" applyAlignment="1">
      <alignment horizontal="left" vertical="top"/>
    </xf>
    <xf numFmtId="0" fontId="41" fillId="35" borderId="1" xfId="33" applyFont="1" applyFill="1" applyBorder="1" applyAlignment="1">
      <alignment horizontal="left" vertical="top" wrapText="1"/>
    </xf>
    <xf numFmtId="0" fontId="40" fillId="24" borderId="1" xfId="33" applyFont="1" applyFill="1" applyBorder="1" applyAlignment="1">
      <alignment horizontal="left" vertical="top"/>
    </xf>
    <xf numFmtId="0" fontId="40" fillId="24" borderId="1" xfId="33" applyFont="1" applyFill="1" applyBorder="1" applyAlignment="1">
      <alignment horizontal="left" vertical="top" wrapText="1"/>
    </xf>
    <xf numFmtId="0" fontId="41" fillId="24" borderId="6" xfId="33" applyFont="1" applyFill="1" applyBorder="1" applyAlignment="1">
      <alignment horizontal="left" vertical="top"/>
    </xf>
    <xf numFmtId="0" fontId="41" fillId="24" borderId="1" xfId="33" applyFont="1" applyFill="1" applyBorder="1" applyAlignment="1">
      <alignment horizontal="left" vertical="top" wrapText="1"/>
    </xf>
    <xf numFmtId="0" fontId="41" fillId="24" borderId="6" xfId="33" applyFont="1" applyFill="1" applyBorder="1" applyAlignment="1">
      <alignment horizontal="left" vertical="top" wrapText="1"/>
    </xf>
    <xf numFmtId="0" fontId="48" fillId="0" borderId="0" xfId="109" applyFont="1"/>
    <xf numFmtId="0" fontId="66" fillId="0" borderId="0" xfId="187" applyBorder="1" applyAlignment="1" applyProtection="1">
      <alignment vertical="top" wrapText="1"/>
    </xf>
    <xf numFmtId="0" fontId="41" fillId="0" borderId="0" xfId="144" applyFont="1" applyAlignment="1">
      <alignment horizontal="left" vertical="top"/>
    </xf>
    <xf numFmtId="0" fontId="41" fillId="29" borderId="1" xfId="144" applyFont="1" applyFill="1" applyBorder="1" applyAlignment="1">
      <alignment horizontal="left" vertical="top"/>
    </xf>
    <xf numFmtId="0" fontId="47" fillId="0" borderId="1" xfId="144" applyFont="1" applyBorder="1" applyAlignment="1">
      <alignment horizontal="left" vertical="top" wrapText="1"/>
    </xf>
    <xf numFmtId="0" fontId="40" fillId="29" borderId="1" xfId="144" applyFont="1" applyFill="1" applyBorder="1" applyAlignment="1">
      <alignment horizontal="left" vertical="top"/>
    </xf>
    <xf numFmtId="0" fontId="41" fillId="29" borderId="1" xfId="144" applyFont="1" applyFill="1" applyBorder="1" applyAlignment="1">
      <alignment horizontal="left" vertical="top" wrapText="1"/>
    </xf>
    <xf numFmtId="0" fontId="41" fillId="0" borderId="1" xfId="144" applyFont="1" applyBorder="1" applyAlignment="1">
      <alignment horizontal="left" vertical="top" wrapText="1"/>
    </xf>
    <xf numFmtId="0" fontId="41" fillId="0" borderId="1" xfId="144" applyFont="1" applyBorder="1" applyAlignment="1">
      <alignment vertical="top" wrapText="1"/>
    </xf>
    <xf numFmtId="0" fontId="72" fillId="0" borderId="0" xfId="0" applyFont="1"/>
    <xf numFmtId="0" fontId="40" fillId="29" borderId="1" xfId="144" applyFont="1" applyFill="1" applyBorder="1" applyAlignment="1">
      <alignment horizontal="left" vertical="top" wrapText="1"/>
    </xf>
    <xf numFmtId="0" fontId="41" fillId="0" borderId="1" xfId="144" applyFont="1" applyBorder="1"/>
    <xf numFmtId="0" fontId="71" fillId="29" borderId="1" xfId="144" applyFont="1" applyFill="1" applyBorder="1" applyAlignment="1">
      <alignment horizontal="left" vertical="top" wrapText="1"/>
    </xf>
    <xf numFmtId="0" fontId="40" fillId="0" borderId="17" xfId="144" applyFont="1" applyBorder="1" applyAlignment="1">
      <alignment horizontal="center" vertical="top"/>
    </xf>
    <xf numFmtId="0" fontId="40" fillId="0" borderId="1" xfId="144" applyFont="1" applyBorder="1" applyAlignment="1">
      <alignment horizontal="center" vertical="top"/>
    </xf>
    <xf numFmtId="0" fontId="40" fillId="0" borderId="11" xfId="144" applyFont="1" applyBorder="1" applyAlignment="1">
      <alignment horizontal="center" vertical="top"/>
    </xf>
    <xf numFmtId="0" fontId="71" fillId="0" borderId="17" xfId="144" applyFont="1" applyBorder="1" applyAlignment="1">
      <alignment horizontal="left" vertical="top"/>
    </xf>
    <xf numFmtId="0" fontId="41" fillId="0" borderId="1" xfId="144" applyFont="1" applyBorder="1" applyAlignment="1">
      <alignment horizontal="left" vertical="top"/>
    </xf>
    <xf numFmtId="0" fontId="41" fillId="0" borderId="11" xfId="144" applyFont="1" applyBorder="1" applyAlignment="1">
      <alignment horizontal="left" vertical="top"/>
    </xf>
    <xf numFmtId="0" fontId="71" fillId="0" borderId="18" xfId="144" applyFont="1" applyBorder="1" applyAlignment="1">
      <alignment horizontal="left" vertical="top"/>
    </xf>
    <xf numFmtId="0" fontId="41" fillId="0" borderId="19" xfId="144" applyFont="1" applyBorder="1" applyAlignment="1">
      <alignment horizontal="left" vertical="top"/>
    </xf>
    <xf numFmtId="0" fontId="41" fillId="0" borderId="20" xfId="144" applyFont="1" applyBorder="1" applyAlignment="1">
      <alignment horizontal="left" vertical="top"/>
    </xf>
    <xf numFmtId="0" fontId="45" fillId="0" borderId="0" xfId="144" applyFont="1" applyAlignment="1">
      <alignment horizontal="left" vertical="top"/>
    </xf>
    <xf numFmtId="0" fontId="41" fillId="0" borderId="0" xfId="112" applyFont="1"/>
    <xf numFmtId="0" fontId="41" fillId="0" borderId="0" xfId="68" applyFont="1"/>
    <xf numFmtId="0" fontId="73" fillId="0" borderId="1" xfId="112" applyFont="1" applyBorder="1" applyAlignment="1">
      <alignment horizontal="left" vertical="center" wrapText="1"/>
    </xf>
    <xf numFmtId="0" fontId="74" fillId="0" borderId="1" xfId="1" applyFont="1" applyBorder="1" applyAlignment="1">
      <alignment horizontal="left" vertical="top" wrapText="1"/>
    </xf>
    <xf numFmtId="0" fontId="73" fillId="0" borderId="0" xfId="112" applyFont="1" applyAlignment="1">
      <alignment horizontal="left" vertical="center" wrapText="1"/>
    </xf>
    <xf numFmtId="0" fontId="41" fillId="0" borderId="1" xfId="112" applyFont="1" applyBorder="1" applyAlignment="1">
      <alignment horizontal="left" vertical="center"/>
    </xf>
    <xf numFmtId="0" fontId="73" fillId="0" borderId="1" xfId="112" applyFont="1" applyBorder="1" applyAlignment="1">
      <alignment horizontal="left" vertical="center"/>
    </xf>
    <xf numFmtId="0" fontId="75" fillId="0" borderId="1" xfId="1" applyFont="1" applyBorder="1" applyAlignment="1">
      <alignment horizontal="left" vertical="top" wrapText="1"/>
    </xf>
    <xf numFmtId="0" fontId="70" fillId="0" borderId="0" xfId="112" applyFont="1"/>
    <xf numFmtId="0" fontId="74" fillId="0" borderId="1" xfId="1" applyFont="1" applyFill="1" applyBorder="1"/>
    <xf numFmtId="0" fontId="73" fillId="0" borderId="1" xfId="129" applyFont="1" applyBorder="1" applyAlignment="1">
      <alignment horizontal="left" vertical="top"/>
    </xf>
    <xf numFmtId="0" fontId="74" fillId="0" borderId="1" xfId="1" applyFont="1" applyBorder="1"/>
    <xf numFmtId="0" fontId="73" fillId="0" borderId="0" xfId="112" applyFont="1" applyAlignment="1">
      <alignment horizontal="left" vertical="top" wrapText="1"/>
    </xf>
    <xf numFmtId="0" fontId="73" fillId="0" borderId="0" xfId="129" applyFont="1"/>
    <xf numFmtId="0" fontId="76" fillId="0" borderId="1" xfId="112" applyFont="1" applyBorder="1" applyAlignment="1">
      <alignment horizontal="center" vertical="center" wrapText="1"/>
    </xf>
    <xf numFmtId="0" fontId="77" fillId="0" borderId="1" xfId="112" applyFont="1" applyBorder="1" applyAlignment="1">
      <alignment horizontal="center" vertical="center" wrapText="1"/>
    </xf>
    <xf numFmtId="0" fontId="45" fillId="0" borderId="0" xfId="112" applyFont="1"/>
    <xf numFmtId="0" fontId="45" fillId="0" borderId="0" xfId="68" applyFont="1"/>
    <xf numFmtId="0" fontId="31" fillId="59" borderId="1" xfId="49" applyFont="1" applyFill="1" applyBorder="1" applyAlignment="1">
      <alignment horizontal="left" vertical="top" wrapText="1"/>
    </xf>
    <xf numFmtId="0" fontId="19" fillId="70" borderId="1" xfId="49" applyFont="1" applyFill="1" applyBorder="1" applyAlignment="1">
      <alignment horizontal="left" vertical="top" wrapText="1"/>
    </xf>
    <xf numFmtId="0" fontId="27" fillId="33" borderId="1" xfId="49" applyFont="1" applyFill="1" applyBorder="1" applyAlignment="1">
      <alignment horizontal="left" vertical="top" wrapText="1"/>
    </xf>
    <xf numFmtId="0" fontId="27" fillId="39" borderId="1" xfId="49" applyFont="1" applyFill="1" applyBorder="1" applyAlignment="1">
      <alignment horizontal="left" vertical="top" wrapText="1"/>
    </xf>
    <xf numFmtId="0" fontId="31" fillId="33" borderId="1" xfId="49" applyFont="1" applyFill="1" applyBorder="1" applyAlignment="1">
      <alignment horizontal="left" vertical="top" wrapText="1"/>
    </xf>
    <xf numFmtId="0" fontId="14" fillId="0" borderId="8" xfId="0" applyFont="1" applyBorder="1" applyAlignment="1">
      <alignment horizontal="left" vertical="center" wrapText="1"/>
    </xf>
    <xf numFmtId="0" fontId="27" fillId="73" borderId="1" xfId="49" applyFont="1" applyFill="1" applyBorder="1" applyAlignment="1">
      <alignment horizontal="left" vertical="top" wrapText="1"/>
    </xf>
    <xf numFmtId="0" fontId="19" fillId="33" borderId="1" xfId="49" applyFont="1" applyFill="1" applyBorder="1" applyAlignment="1">
      <alignment horizontal="left" vertical="top" wrapText="1"/>
    </xf>
    <xf numFmtId="0" fontId="31" fillId="73" borderId="1" xfId="49" applyFont="1" applyFill="1" applyBorder="1" applyAlignment="1">
      <alignment horizontal="left" vertical="top" wrapText="1"/>
    </xf>
    <xf numFmtId="0" fontId="19" fillId="65" borderId="1" xfId="49" applyFont="1" applyFill="1" applyBorder="1" applyAlignment="1">
      <alignment horizontal="left" vertical="top" wrapText="1"/>
    </xf>
    <xf numFmtId="0" fontId="27" fillId="54" borderId="1" xfId="49" applyFont="1" applyFill="1" applyBorder="1" applyAlignment="1">
      <alignment horizontal="left" vertical="top" wrapText="1"/>
    </xf>
    <xf numFmtId="0" fontId="19" fillId="8" borderId="1" xfId="49" applyFont="1" applyFill="1" applyBorder="1" applyAlignment="1">
      <alignment horizontal="left" vertical="top" wrapText="1"/>
    </xf>
    <xf numFmtId="0" fontId="17" fillId="71" borderId="1" xfId="49" applyFont="1" applyFill="1" applyBorder="1" applyAlignment="1">
      <alignment horizontal="left" vertical="top" wrapText="1"/>
    </xf>
    <xf numFmtId="0" fontId="17" fillId="64" borderId="1" xfId="49" applyFont="1" applyFill="1" applyBorder="1" applyAlignment="1">
      <alignment horizontal="left" vertical="top" wrapText="1"/>
    </xf>
    <xf numFmtId="0" fontId="17" fillId="64" borderId="1" xfId="49" applyFont="1" applyFill="1" applyBorder="1" applyAlignment="1">
      <alignment horizontal="left" vertical="top"/>
    </xf>
    <xf numFmtId="0" fontId="42" fillId="64" borderId="1" xfId="49" applyFont="1" applyFill="1" applyBorder="1" applyAlignment="1" applyProtection="1">
      <alignment horizontal="left" vertical="top"/>
      <protection locked="0"/>
    </xf>
    <xf numFmtId="0" fontId="19" fillId="64" borderId="1" xfId="49" applyFont="1" applyFill="1" applyBorder="1" applyAlignment="1">
      <alignment horizontal="left" vertical="top" wrapText="1"/>
    </xf>
    <xf numFmtId="0" fontId="19" fillId="64" borderId="1" xfId="49" applyFont="1" applyFill="1" applyBorder="1" applyAlignment="1">
      <alignment horizontal="left" vertical="top"/>
    </xf>
    <xf numFmtId="0" fontId="43" fillId="64" borderId="1" xfId="49" applyFont="1" applyFill="1" applyBorder="1" applyAlignment="1" applyProtection="1">
      <alignment horizontal="left" vertical="top"/>
      <protection locked="0"/>
    </xf>
    <xf numFmtId="0" fontId="91" fillId="0" borderId="1" xfId="1" applyFont="1" applyBorder="1" applyAlignment="1">
      <alignment horizontal="left" vertical="top" wrapText="1"/>
    </xf>
    <xf numFmtId="0" fontId="27" fillId="72" borderId="1" xfId="49" applyFont="1" applyFill="1" applyBorder="1" applyAlignment="1">
      <alignment horizontal="left" vertical="top" wrapText="1"/>
    </xf>
    <xf numFmtId="0" fontId="31" fillId="74" borderId="1" xfId="49" applyFont="1" applyFill="1" applyBorder="1" applyAlignment="1">
      <alignment horizontal="left" vertical="top" wrapText="1"/>
    </xf>
    <xf numFmtId="0" fontId="46" fillId="67" borderId="9" xfId="33" applyFont="1" applyFill="1" applyBorder="1" applyAlignment="1">
      <alignment horizontal="left" vertical="top" wrapText="1"/>
    </xf>
    <xf numFmtId="0" fontId="46" fillId="67" borderId="0" xfId="33" applyFont="1" applyFill="1" applyAlignment="1">
      <alignment horizontal="left" vertical="top" wrapText="1"/>
    </xf>
    <xf numFmtId="0" fontId="23" fillId="5" borderId="1" xfId="144" applyFont="1" applyFill="1" applyBorder="1" applyAlignment="1">
      <alignment horizontal="center" vertical="center"/>
    </xf>
    <xf numFmtId="0" fontId="71" fillId="29" borderId="1" xfId="144" applyFont="1" applyFill="1" applyBorder="1" applyAlignment="1">
      <alignment horizontal="center" vertical="top" wrapText="1"/>
    </xf>
    <xf numFmtId="0" fontId="41" fillId="29" borderId="1" xfId="144" applyFont="1" applyFill="1" applyBorder="1" applyAlignment="1">
      <alignment horizontal="center" vertical="top"/>
    </xf>
    <xf numFmtId="0" fontId="40" fillId="29" borderId="1" xfId="144" applyFont="1" applyFill="1" applyBorder="1" applyAlignment="1">
      <alignment horizontal="center" vertical="top"/>
    </xf>
    <xf numFmtId="0" fontId="40" fillId="10" borderId="0" xfId="144" applyFont="1" applyFill="1" applyAlignment="1">
      <alignment horizontal="center" vertical="top"/>
    </xf>
    <xf numFmtId="0" fontId="41" fillId="0" borderId="12" xfId="144" applyFont="1" applyBorder="1" applyAlignment="1">
      <alignment horizontal="left" vertical="top" wrapText="1"/>
    </xf>
    <xf numFmtId="0" fontId="41" fillId="0" borderId="13" xfId="144" applyFont="1" applyBorder="1" applyAlignment="1">
      <alignment horizontal="left" vertical="top" wrapText="1"/>
    </xf>
    <xf numFmtId="0" fontId="41" fillId="0" borderId="0" xfId="144" applyFont="1" applyAlignment="1">
      <alignment horizontal="left" vertical="top" wrapText="1"/>
    </xf>
    <xf numFmtId="0" fontId="41" fillId="0" borderId="0" xfId="144" applyFont="1" applyAlignment="1">
      <alignment horizontal="left" vertical="top"/>
    </xf>
    <xf numFmtId="0" fontId="40" fillId="10" borderId="14" xfId="144" applyFont="1" applyFill="1" applyBorder="1" applyAlignment="1">
      <alignment horizontal="center" vertical="top"/>
    </xf>
    <xf numFmtId="0" fontId="40" fillId="10" borderId="15" xfId="144" applyFont="1" applyFill="1" applyBorder="1" applyAlignment="1">
      <alignment horizontal="center" vertical="top"/>
    </xf>
    <xf numFmtId="0" fontId="40" fillId="10" borderId="16" xfId="144" applyFont="1" applyFill="1" applyBorder="1" applyAlignment="1">
      <alignment horizontal="center" vertical="top"/>
    </xf>
    <xf numFmtId="0" fontId="19" fillId="4" borderId="0" xfId="49" applyFont="1" applyFill="1" applyAlignment="1">
      <alignment horizontal="left" vertical="top" wrapText="1"/>
    </xf>
    <xf numFmtId="0" fontId="19" fillId="4" borderId="0" xfId="0" applyFont="1" applyFill="1" applyAlignment="1">
      <alignment horizontal="left" vertical="top" wrapText="1"/>
    </xf>
  </cellXfs>
  <cellStyles count="264">
    <cellStyle name="40% — акцент6 2" xfId="2" xr:uid="{00000000-0005-0000-0000-000031000000}"/>
    <cellStyle name="40% — акцент6 2 2" xfId="190" xr:uid="{517221F3-7125-4DD9-A78F-0FE89E681AAB}"/>
    <cellStyle name="Гиперссылка" xfId="1" builtinId="8"/>
    <cellStyle name="Гиперссылка 2" xfId="167" xr:uid="{A7971B91-901A-4087-B5A4-9F4B72320D55}"/>
    <cellStyle name="Гиперссылка 2 2" xfId="182" xr:uid="{C3A7468D-1FAE-4056-9158-5245D43F6C74}"/>
    <cellStyle name="Гиперссылка 2 2 2" xfId="245" xr:uid="{EC933CAD-A565-4142-B6C7-A84D4697C354}"/>
    <cellStyle name="Гиперссылка 3" xfId="187" xr:uid="{B0A41F8E-097F-43DC-86EE-EA2EFD754367}"/>
    <cellStyle name="Гиперссылка 4" xfId="200" xr:uid="{7DDF1C6B-4E6A-4472-805A-D2552ADC3B62}"/>
    <cellStyle name="Гиперссылка 5" xfId="236" xr:uid="{8C7AB74D-5BEB-4BAA-B116-E5A05253EDC8}"/>
    <cellStyle name="Двойной" xfId="3" xr:uid="{00000000-0005-0000-0000-000032000000}"/>
    <cellStyle name="Обычный" xfId="0" builtinId="0"/>
    <cellStyle name="Обычный 10" xfId="4" xr:uid="{00000000-0005-0000-0000-000033000000}"/>
    <cellStyle name="Обычный 10 2" xfId="5" xr:uid="{00000000-0005-0000-0000-000034000000}"/>
    <cellStyle name="Обычный 10 2 2" xfId="6" xr:uid="{00000000-0005-0000-0000-000035000000}"/>
    <cellStyle name="Обычный 10 2 2 2" xfId="168" xr:uid="{E44D8C8C-FDBE-4CB1-A056-A6B546FCE713}"/>
    <cellStyle name="Обычный 11" xfId="7" xr:uid="{00000000-0005-0000-0000-000036000000}"/>
    <cellStyle name="Обычный 12" xfId="8" xr:uid="{00000000-0005-0000-0000-000037000000}"/>
    <cellStyle name="Обычный 13" xfId="9" xr:uid="{00000000-0005-0000-0000-000038000000}"/>
    <cellStyle name="Обычный 14" xfId="10" xr:uid="{00000000-0005-0000-0000-000039000000}"/>
    <cellStyle name="Обычный 14 2" xfId="175" xr:uid="{D0361683-DA80-48B5-A228-F30C5FC20AF8}"/>
    <cellStyle name="Обычный 14 2 2" xfId="194" xr:uid="{64E3071C-9765-4600-A315-BB6DBD6FEB03}"/>
    <cellStyle name="Обычный 15" xfId="11" xr:uid="{00000000-0005-0000-0000-00003A000000}"/>
    <cellStyle name="Обычный 16" xfId="12" xr:uid="{00000000-0005-0000-0000-00003B000000}"/>
    <cellStyle name="Обычный 16 2" xfId="172" xr:uid="{88DA3ECA-C4D5-4103-9EB7-2E57A16224E2}"/>
    <cellStyle name="Обычный 16 3" xfId="257" xr:uid="{0FE4D58D-5DB8-4785-BCBF-AF30BD3FA72F}"/>
    <cellStyle name="Обычный 17" xfId="13" xr:uid="{00000000-0005-0000-0000-00003C000000}"/>
    <cellStyle name="Обычный 17 2" xfId="14" xr:uid="{00000000-0005-0000-0000-00003D000000}"/>
    <cellStyle name="Обычный 18" xfId="15" xr:uid="{00000000-0005-0000-0000-00003E000000}"/>
    <cellStyle name="Обычный 19" xfId="16" xr:uid="{00000000-0005-0000-0000-00003F000000}"/>
    <cellStyle name="Обычный 19 2" xfId="229" xr:uid="{CE696823-AF15-4248-9A79-7AFD2DD6A6BB}"/>
    <cellStyle name="Обычный 2" xfId="17" xr:uid="{00000000-0005-0000-0000-000040000000}"/>
    <cellStyle name="Обычный 2 10" xfId="18" xr:uid="{00000000-0005-0000-0000-000041000000}"/>
    <cellStyle name="Обычный 2 10 2" xfId="19" xr:uid="{00000000-0005-0000-0000-000042000000}"/>
    <cellStyle name="Обычный 2 10 2 2" xfId="209" xr:uid="{73AC6D59-9F25-49B7-925C-59FF8B60DF52}"/>
    <cellStyle name="Обычный 2 10 2 2 2" xfId="241" xr:uid="{6AFCF710-7335-477F-A8B2-A6353ED1A91A}"/>
    <cellStyle name="Обычный 2 11" xfId="181" xr:uid="{FC9C7939-5A26-4EBE-82E4-8F34F90B7F24}"/>
    <cellStyle name="Обычный 2 12" xfId="192" xr:uid="{94C40A1D-580B-4D0B-AE38-8F73CE445D91}"/>
    <cellStyle name="Обычный 2 13" xfId="228" xr:uid="{E24F9F1D-9DD7-492C-9DC7-957ED343AFE8}"/>
    <cellStyle name="Обычный 2 14" xfId="233" xr:uid="{C1925C79-67A1-474A-80AD-39371324D16E}"/>
    <cellStyle name="Обычный 2 14 2" xfId="248" xr:uid="{1434A5CC-5657-448B-85AA-69D4A95F6371}"/>
    <cellStyle name="Обычный 2 14 3" xfId="256" xr:uid="{CF7FDC59-877E-4AB4-8135-9B35FC5598E4}"/>
    <cellStyle name="Обычный 2 2" xfId="20" xr:uid="{00000000-0005-0000-0000-000043000000}"/>
    <cellStyle name="Обычный 2 2 10" xfId="21" xr:uid="{00000000-0005-0000-0000-000044000000}"/>
    <cellStyle name="Обычный 2 2 11" xfId="22" xr:uid="{00000000-0005-0000-0000-000045000000}"/>
    <cellStyle name="Обычный 2 2 12" xfId="23" xr:uid="{00000000-0005-0000-0000-000046000000}"/>
    <cellStyle name="Обычный 2 2 13" xfId="24" xr:uid="{00000000-0005-0000-0000-000047000000}"/>
    <cellStyle name="Обычный 2 2 14" xfId="25" xr:uid="{00000000-0005-0000-0000-000048000000}"/>
    <cellStyle name="Обычный 2 2 14 2" xfId="26" xr:uid="{00000000-0005-0000-0000-000049000000}"/>
    <cellStyle name="Обычный 2 2 14 2 2" xfId="213" xr:uid="{CE6326C6-2655-410A-BE39-507A6EE75AD2}"/>
    <cellStyle name="Обычный 2 2 15" xfId="27" xr:uid="{00000000-0005-0000-0000-00004A000000}"/>
    <cellStyle name="Обычный 2 2 16" xfId="28" xr:uid="{00000000-0005-0000-0000-00004B000000}"/>
    <cellStyle name="Обычный 2 2 17" xfId="29" xr:uid="{00000000-0005-0000-0000-00004C000000}"/>
    <cellStyle name="Обычный 2 2 18" xfId="30" xr:uid="{00000000-0005-0000-0000-00004D000000}"/>
    <cellStyle name="Обычный 2 2 18 2" xfId="158" xr:uid="{5DE27894-1AD6-4573-9991-D0C10AA37103}"/>
    <cellStyle name="Обычный 2 2 18 3" xfId="203" xr:uid="{6DF48228-FB58-4EC7-AC9D-2F03258104A5}"/>
    <cellStyle name="Обычный 2 2 18 4" xfId="210" xr:uid="{C02139A7-71BA-4676-B578-C27BCC210E89}"/>
    <cellStyle name="Обычный 2 2 18 5" xfId="221" xr:uid="{200444F1-7EE5-4A53-8C07-691B673F601E}"/>
    <cellStyle name="Обычный 2 2 19" xfId="31" xr:uid="{00000000-0005-0000-0000-00004E000000}"/>
    <cellStyle name="Обычный 2 2 19 2" xfId="32" xr:uid="{00000000-0005-0000-0000-00004F000000}"/>
    <cellStyle name="Обычный 2 2 19 3" xfId="225" xr:uid="{63E3EC48-D95D-4457-9B79-D6F8A922AB7D}"/>
    <cellStyle name="Обычный 2 2 2" xfId="33" xr:uid="{00000000-0005-0000-0000-000050000000}"/>
    <cellStyle name="Обычный 2 2 2 10" xfId="34" xr:uid="{00000000-0005-0000-0000-000051000000}"/>
    <cellStyle name="Обычный 2 2 2 11" xfId="35" xr:uid="{00000000-0005-0000-0000-000052000000}"/>
    <cellStyle name="Обычный 2 2 2 11 2" xfId="36" xr:uid="{00000000-0005-0000-0000-000053000000}"/>
    <cellStyle name="Обычный 2 2 2 11 3" xfId="226" xr:uid="{3D553103-F3F7-43A3-9434-6F1203C1ED25}"/>
    <cellStyle name="Обычный 2 2 2 12" xfId="37" xr:uid="{00000000-0005-0000-0000-000054000000}"/>
    <cellStyle name="Обычный 2 2 2 12 2" xfId="217" xr:uid="{D9CAADBB-77C5-4154-B5CA-EE1159645A63}"/>
    <cellStyle name="Обычный 2 2 2 13" xfId="180" xr:uid="{6FF17756-498B-4F86-A6FD-F65358559BB8}"/>
    <cellStyle name="Обычный 2 2 2 13 2" xfId="250" xr:uid="{CF26ECF3-6F42-4C45-83FD-7EF32D9057D7}"/>
    <cellStyle name="Обычный 2 2 2 14" xfId="220" xr:uid="{5456AD51-2BA3-4AB7-BBDB-AC16F39D0D43}"/>
    <cellStyle name="Обычный 2 2 2 15" xfId="243" xr:uid="{A0F0F7B0-24AD-43D4-B579-826D69103EB2}"/>
    <cellStyle name="Обычный 2 2 2 16" xfId="252" xr:uid="{89DA17C5-4AC0-4790-BEB8-0483F1DEE0E5}"/>
    <cellStyle name="Обычный 2 2 2 17" xfId="260" xr:uid="{41A84E11-E126-4313-8986-006EFF996F72}"/>
    <cellStyle name="Обычный 2 2 2 2" xfId="38" xr:uid="{00000000-0005-0000-0000-000055000000}"/>
    <cellStyle name="Обычный 2 2 2 2 2" xfId="39" xr:uid="{00000000-0005-0000-0000-000056000000}"/>
    <cellStyle name="Обычный 2 2 2 2 2 2" xfId="40" xr:uid="{00000000-0005-0000-0000-000057000000}"/>
    <cellStyle name="Обычный 2 2 2 2 2 2 2" xfId="160" xr:uid="{E7924400-08BA-43ED-842A-3268D595DFA8}"/>
    <cellStyle name="Обычный 2 2 2 2 2 2 3" xfId="204" xr:uid="{7BAEC122-7F25-4E2C-ACC5-921687A3B654}"/>
    <cellStyle name="Обычный 2 2 2 2 2 2 4" xfId="222" xr:uid="{F53C87EF-6E65-431D-98C9-875063A8B31D}"/>
    <cellStyle name="Обычный 2 2 2 2 3" xfId="41" xr:uid="{00000000-0005-0000-0000-000058000000}"/>
    <cellStyle name="Обычный 2 2 2 2 4" xfId="42" xr:uid="{00000000-0005-0000-0000-000059000000}"/>
    <cellStyle name="Обычный 2 2 2 2 5" xfId="43" xr:uid="{00000000-0005-0000-0000-00005A000000}"/>
    <cellStyle name="Обычный 2 2 2 2 5 2" xfId="239" xr:uid="{BC4F7FFE-1186-4DAF-BE72-038C7C90F85F}"/>
    <cellStyle name="Обычный 2 2 2 2 6" xfId="44" xr:uid="{00000000-0005-0000-0000-00005B000000}"/>
    <cellStyle name="Обычный 2 2 2 2 7" xfId="45" xr:uid="{00000000-0005-0000-0000-00005C000000}"/>
    <cellStyle name="Обычный 2 2 2 2 7 2" xfId="237" xr:uid="{DB4091C4-A039-44A5-9C64-40C62C9F7551}"/>
    <cellStyle name="Обычный 2 2 2 3" xfId="46" xr:uid="{00000000-0005-0000-0000-00005D000000}"/>
    <cellStyle name="Обычный 2 2 2 4" xfId="47" xr:uid="{00000000-0005-0000-0000-00005E000000}"/>
    <cellStyle name="Обычный 2 2 2 5" xfId="48" xr:uid="{00000000-0005-0000-0000-00005F000000}"/>
    <cellStyle name="Обычный 2 2 2 6" xfId="49" xr:uid="{00000000-0005-0000-0000-000060000000}"/>
    <cellStyle name="Обычный 2 2 2 6 2" xfId="161" xr:uid="{E4F23031-F2FE-4032-82E2-DC4D1241D14A}"/>
    <cellStyle name="Обычный 2 2 2 6 2 2" xfId="196" xr:uid="{56C9134D-404A-449D-885C-50D4D4609E5E}"/>
    <cellStyle name="Обычный 2 2 2 6 3" xfId="188" xr:uid="{ED727B39-7CEB-44FD-8BF4-89400DA7D3BC}"/>
    <cellStyle name="Обычный 2 2 2 6 4" xfId="215" xr:uid="{247C101E-E57F-4ABC-B98A-8C732C60AB0E}"/>
    <cellStyle name="Обычный 2 2 2 7" xfId="50" xr:uid="{00000000-0005-0000-0000-000061000000}"/>
    <cellStyle name="Обычный 2 2 2 8" xfId="51" xr:uid="{00000000-0005-0000-0000-000062000000}"/>
    <cellStyle name="Обычный 2 2 2 8 2" xfId="52" xr:uid="{00000000-0005-0000-0000-000063000000}"/>
    <cellStyle name="Обычный 2 2 2 8 2 2" xfId="207" xr:uid="{495A6D30-6621-4921-900E-28958836123E}"/>
    <cellStyle name="Обычный 2 2 2 9" xfId="53" xr:uid="{00000000-0005-0000-0000-000064000000}"/>
    <cellStyle name="Обычный 2 2 20" xfId="54" xr:uid="{00000000-0005-0000-0000-000065000000}"/>
    <cellStyle name="Обычный 2 2 20 2" xfId="178" xr:uid="{20E1EC61-844D-44A1-B11F-5D9AC598F963}"/>
    <cellStyle name="Обычный 2 2 20 2 2" xfId="249" xr:uid="{7E7E3E51-334F-4336-B9E1-271F86D92747}"/>
    <cellStyle name="Обычный 2 2 20 3" xfId="258" xr:uid="{C0B87C82-40C0-45FC-A90A-8A5345B5AB34}"/>
    <cellStyle name="Обычный 2 2 21" xfId="55" xr:uid="{00000000-0005-0000-0000-000066000000}"/>
    <cellStyle name="Обычный 2 2 22" xfId="56" xr:uid="{00000000-0005-0000-0000-000067000000}"/>
    <cellStyle name="Обычный 2 2 23" xfId="184" xr:uid="{B0E23110-23A7-44EE-A81A-028F7CEAB877}"/>
    <cellStyle name="Обычный 2 2 24" xfId="202" xr:uid="{75EFB26A-5A7A-41B1-B0E2-2A564DA21AA8}"/>
    <cellStyle name="Обычный 2 2 25" xfId="219" xr:uid="{D7F59D9F-CCB1-4C81-A6EE-775BD50F0E2E}"/>
    <cellStyle name="Обычный 2 2 26" xfId="232" xr:uid="{272AEB30-02E2-411E-8240-D9773B1B788D}"/>
    <cellStyle name="Обычный 2 2 26 2" xfId="247" xr:uid="{CCEDEB02-7C18-46CA-AAFB-6AC6F4CC464F}"/>
    <cellStyle name="Обычный 2 2 26 3" xfId="255" xr:uid="{28CFEFF3-4BB5-4E8B-A7B2-ACFD62C24748}"/>
    <cellStyle name="Обычный 2 2 27" xfId="242" xr:uid="{55267571-51C1-4460-A6E7-87ADEA979087}"/>
    <cellStyle name="Обычный 2 2 3" xfId="57" xr:uid="{00000000-0005-0000-0000-000068000000}"/>
    <cellStyle name="Обычный 2 2 3 2" xfId="58" xr:uid="{00000000-0005-0000-0000-000069000000}"/>
    <cellStyle name="Обычный 2 2 3 3" xfId="59" xr:uid="{00000000-0005-0000-0000-00006A000000}"/>
    <cellStyle name="Обычный 2 2 3 4" xfId="60" xr:uid="{00000000-0005-0000-0000-00006B000000}"/>
    <cellStyle name="Обычный 2 2 3 4 2" xfId="61" xr:uid="{00000000-0005-0000-0000-00006C000000}"/>
    <cellStyle name="Обычный 2 2 3 4 2 2" xfId="62" xr:uid="{00000000-0005-0000-0000-00006D000000}"/>
    <cellStyle name="Обычный 2 2 3 4 2 3" xfId="177" xr:uid="{8F7F614D-4FD5-4199-94A5-6E0257AB4836}"/>
    <cellStyle name="Обычный 2 2 3 4 2 3 2" xfId="199" xr:uid="{CA2A5340-6199-4442-93DB-C0CF4A4BF8C6}"/>
    <cellStyle name="Обычный 2 2 3 5" xfId="63" xr:uid="{00000000-0005-0000-0000-00006E000000}"/>
    <cellStyle name="Обычный 2 2 3 6" xfId="64" xr:uid="{00000000-0005-0000-0000-00006F000000}"/>
    <cellStyle name="Обычный 2 2 3 6 2" xfId="65" xr:uid="{00000000-0005-0000-0000-000070000000}"/>
    <cellStyle name="Обычный 2 2 3 7" xfId="66" xr:uid="{00000000-0005-0000-0000-000071000000}"/>
    <cellStyle name="Обычный 2 2 3 8" xfId="67" xr:uid="{00000000-0005-0000-0000-000072000000}"/>
    <cellStyle name="Обычный 2 2 4" xfId="68" xr:uid="{00000000-0005-0000-0000-000073000000}"/>
    <cellStyle name="Обычный 2 2 4 2" xfId="69" xr:uid="{00000000-0005-0000-0000-000074000000}"/>
    <cellStyle name="Обычный 2 2 4 2 2" xfId="70" xr:uid="{00000000-0005-0000-0000-000075000000}"/>
    <cellStyle name="Обычный 2 2 4 2 2 2" xfId="71" xr:uid="{00000000-0005-0000-0000-000076000000}"/>
    <cellStyle name="Обычный 2 2 4 2 2 2 2" xfId="162" xr:uid="{3010CAF0-5844-4617-9FF8-7B0DE630FCDB}"/>
    <cellStyle name="Обычный 2 2 4 2 2 2 3" xfId="205" xr:uid="{62A84B3A-2363-4E61-994E-E0C3ED8DBA85}"/>
    <cellStyle name="Обычный 2 2 4 2 2 2 4" xfId="206" xr:uid="{1CA8664E-26BF-4A1F-9CCF-C4C9C710D383}"/>
    <cellStyle name="Обычный 2 2 4 2 2 2 5" xfId="223" xr:uid="{F56C09C9-C48F-41AA-9C4A-3D20717E216C}"/>
    <cellStyle name="Обычный 2 2 4 2 3" xfId="72" xr:uid="{00000000-0005-0000-0000-000077000000}"/>
    <cellStyle name="Обычный 2 2 4 2 3 2" xfId="185" xr:uid="{CEEF06C9-73FB-4584-86D2-D16FD8BB6B35}"/>
    <cellStyle name="Обычный 2 2 4 2 4" xfId="227" xr:uid="{72D235C2-B76E-4F7B-B257-198DC2DB681F}"/>
    <cellStyle name="Обычный 2 2 5" xfId="73" xr:uid="{00000000-0005-0000-0000-000078000000}"/>
    <cellStyle name="Обычный 2 2 5 2" xfId="74" xr:uid="{00000000-0005-0000-0000-000079000000}"/>
    <cellStyle name="Обычный 2 2 5 2 2" xfId="75" xr:uid="{00000000-0005-0000-0000-00007A000000}"/>
    <cellStyle name="Обычный 2 2 5 2 2 2" xfId="169" xr:uid="{D9D32712-F3C4-4DEE-A395-12626B108519}"/>
    <cellStyle name="Обычный 2 2 6" xfId="76" xr:uid="{00000000-0005-0000-0000-00007B000000}"/>
    <cellStyle name="Обычный 2 2 7" xfId="77" xr:uid="{00000000-0005-0000-0000-00007C000000}"/>
    <cellStyle name="Обычный 2 2 8" xfId="78" xr:uid="{00000000-0005-0000-0000-00007D000000}"/>
    <cellStyle name="Обычный 2 2 8 2" xfId="79" xr:uid="{00000000-0005-0000-0000-00007E000000}"/>
    <cellStyle name="Обычный 2 2 8 2 2" xfId="191" xr:uid="{5E1EE63A-951D-4467-969A-2B27F5F251CD}"/>
    <cellStyle name="Обычный 2 2 9" xfId="80" xr:uid="{00000000-0005-0000-0000-00007F000000}"/>
    <cellStyle name="Обычный 2 2 9 2" xfId="81" xr:uid="{00000000-0005-0000-0000-000080000000}"/>
    <cellStyle name="Обычный 2 2 9 2 2" xfId="82" xr:uid="{00000000-0005-0000-0000-000081000000}"/>
    <cellStyle name="Обычный 2 2 9 2 3" xfId="176" xr:uid="{D86F7D85-4D53-4CA2-B639-0577BBC1A2E9}"/>
    <cellStyle name="Обычный 2 2 9 2 3 2" xfId="198" xr:uid="{C2DBA9C2-E453-49D3-B843-F4174C0A7992}"/>
    <cellStyle name="Обычный 2 3" xfId="83" xr:uid="{00000000-0005-0000-0000-000082000000}"/>
    <cellStyle name="Обычный 2 3 2" xfId="84" xr:uid="{00000000-0005-0000-0000-000083000000}"/>
    <cellStyle name="Обычный 2 4" xfId="85" xr:uid="{00000000-0005-0000-0000-000084000000}"/>
    <cellStyle name="Обычный 2 5" xfId="86" xr:uid="{00000000-0005-0000-0000-000085000000}"/>
    <cellStyle name="Обычный 2 6" xfId="87" xr:uid="{00000000-0005-0000-0000-000086000000}"/>
    <cellStyle name="Обычный 2 6 2" xfId="88" xr:uid="{00000000-0005-0000-0000-000087000000}"/>
    <cellStyle name="Обычный 2 6 2 2" xfId="170" xr:uid="{5583E1BF-3AEB-41AF-9A22-CE3F4160DC30}"/>
    <cellStyle name="Обычный 2 6 2 2 2" xfId="197" xr:uid="{B0A892B3-A700-495C-AD32-76B14434CAC2}"/>
    <cellStyle name="Обычный 2 7" xfId="89" xr:uid="{00000000-0005-0000-0000-000088000000}"/>
    <cellStyle name="Обычный 2 7 2" xfId="173" xr:uid="{E560CED5-20AA-4916-AA50-BAE06D635290}"/>
    <cellStyle name="Обычный 2 8" xfId="90" xr:uid="{00000000-0005-0000-0000-000089000000}"/>
    <cellStyle name="Обычный 2 9" xfId="91" xr:uid="{00000000-0005-0000-0000-00008A000000}"/>
    <cellStyle name="Обычный 2 9 2" xfId="92" xr:uid="{00000000-0005-0000-0000-00008B000000}"/>
    <cellStyle name="Обычный 2 9 2 2" xfId="212" xr:uid="{AE5FFFD3-BD72-4632-ADC2-08700983E9BC}"/>
    <cellStyle name="Обычный 20" xfId="93" xr:uid="{00000000-0005-0000-0000-00008C000000}"/>
    <cellStyle name="Обычный 21" xfId="94" xr:uid="{00000000-0005-0000-0000-00008D000000}"/>
    <cellStyle name="Обычный 21 2" xfId="95" xr:uid="{00000000-0005-0000-0000-00008E000000}"/>
    <cellStyle name="Обычный 21 2 2" xfId="211" xr:uid="{1BBE856A-EC65-4BD7-B2E9-1B655AA3AACD}"/>
    <cellStyle name="Обычный 22" xfId="96" xr:uid="{00000000-0005-0000-0000-00008F000000}"/>
    <cellStyle name="Обычный 22 2" xfId="97" xr:uid="{00000000-0005-0000-0000-000090000000}"/>
    <cellStyle name="Обычный 23" xfId="98" xr:uid="{00000000-0005-0000-0000-000091000000}"/>
    <cellStyle name="Обычный 23 2" xfId="99" xr:uid="{00000000-0005-0000-0000-000092000000}"/>
    <cellStyle name="Обычный 24" xfId="100" xr:uid="{00000000-0005-0000-0000-000093000000}"/>
    <cellStyle name="Обычный 25" xfId="101" xr:uid="{00000000-0005-0000-0000-000094000000}"/>
    <cellStyle name="Обычный 26" xfId="102" xr:uid="{00000000-0005-0000-0000-000095000000}"/>
    <cellStyle name="Обычный 26 2" xfId="103" xr:uid="{00000000-0005-0000-0000-000096000000}"/>
    <cellStyle name="Обычный 26 3" xfId="224" xr:uid="{205C58C9-8F95-4FCC-8BB6-E3634E0F309A}"/>
    <cellStyle name="Обычный 27" xfId="104" xr:uid="{00000000-0005-0000-0000-000097000000}"/>
    <cellStyle name="Обычный 27 2" xfId="238" xr:uid="{37C42A11-7D36-4052-BB9B-E042AECC549B}"/>
    <cellStyle name="Обычный 28" xfId="105" xr:uid="{00000000-0005-0000-0000-000098000000}"/>
    <cellStyle name="Обычный 29" xfId="106" xr:uid="{00000000-0005-0000-0000-000099000000}"/>
    <cellStyle name="Обычный 3" xfId="107" xr:uid="{00000000-0005-0000-0000-00009A000000}"/>
    <cellStyle name="Обычный 3 2" xfId="108" xr:uid="{00000000-0005-0000-0000-00009B000000}"/>
    <cellStyle name="Обычный 3 2 2" xfId="109" xr:uid="{00000000-0005-0000-0000-00009C000000}"/>
    <cellStyle name="Обычный 3 2 2 2" xfId="110" xr:uid="{00000000-0005-0000-0000-00009D000000}"/>
    <cellStyle name="Обычный 3 2 2 3" xfId="111" xr:uid="{00000000-0005-0000-0000-00009E000000}"/>
    <cellStyle name="Обычный 3 2 3" xfId="112" xr:uid="{00000000-0005-0000-0000-00009F000000}"/>
    <cellStyle name="Обычный 3 2 4" xfId="113" xr:uid="{00000000-0005-0000-0000-0000A0000000}"/>
    <cellStyle name="Обычный 3 2 5" xfId="114" xr:uid="{00000000-0005-0000-0000-0000A1000000}"/>
    <cellStyle name="Обычный 3 2 6" xfId="115" xr:uid="{00000000-0005-0000-0000-0000A2000000}"/>
    <cellStyle name="Обычный 3 2 6 2" xfId="163" xr:uid="{9BA96582-749C-42D6-B1A1-56885B402C63}"/>
    <cellStyle name="Обычный 3 2 6 2 2" xfId="261" xr:uid="{53341FC0-81BB-494E-9E98-86592F34180C}"/>
    <cellStyle name="Обычный 3 2 6 3" xfId="234" xr:uid="{FC0E4167-18DA-4E82-81E8-98C4B19CF99D}"/>
    <cellStyle name="Обычный 3 2 7" xfId="116" xr:uid="{00000000-0005-0000-0000-0000A3000000}"/>
    <cellStyle name="Обычный 3 2 8" xfId="117" xr:uid="{00000000-0005-0000-0000-0000A4000000}"/>
    <cellStyle name="Обычный 3 3" xfId="118" xr:uid="{00000000-0005-0000-0000-0000A5000000}"/>
    <cellStyle name="Обычный 3 4" xfId="119" xr:uid="{00000000-0005-0000-0000-0000A6000000}"/>
    <cellStyle name="Обычный 3 5" xfId="120" xr:uid="{00000000-0005-0000-0000-0000A7000000}"/>
    <cellStyle name="Обычный 3 5 2" xfId="121" xr:uid="{00000000-0005-0000-0000-0000A8000000}"/>
    <cellStyle name="Обычный 3 5 2 2" xfId="165" xr:uid="{6DE32520-2379-4CF5-BE0B-C5F699A0E819}"/>
    <cellStyle name="Обычный 3 6" xfId="122" xr:uid="{00000000-0005-0000-0000-0000A9000000}"/>
    <cellStyle name="Обычный 3 7" xfId="123" xr:uid="{00000000-0005-0000-0000-0000AA000000}"/>
    <cellStyle name="Обычный 3 7 2" xfId="171" xr:uid="{DAC3EF03-CCDA-4423-B2EC-869B25371D34}"/>
    <cellStyle name="Обычный 30" xfId="124" xr:uid="{00000000-0005-0000-0000-0000AB000000}"/>
    <cellStyle name="Обычный 31" xfId="125" xr:uid="{00000000-0005-0000-0000-0000AC000000}"/>
    <cellStyle name="Обычный 32" xfId="126" xr:uid="{00000000-0005-0000-0000-0000AD000000}"/>
    <cellStyle name="Обычный 33" xfId="127" xr:uid="{00000000-0005-0000-0000-0000AE000000}"/>
    <cellStyle name="Обычный 34" xfId="128" xr:uid="{00000000-0005-0000-0000-0000AF000000}"/>
    <cellStyle name="Обычный 34 2" xfId="216" xr:uid="{B2DB5CE7-A6FD-441E-A59B-C49D119203C4}"/>
    <cellStyle name="Обычный 35" xfId="157" xr:uid="{DF7FD27C-70F2-4BF0-B7B1-2E6E9746A728}"/>
    <cellStyle name="Обычный 36" xfId="201" xr:uid="{D2819F1D-B8AF-4C9F-A9A7-ED004A292F0F}"/>
    <cellStyle name="Обычный 37" xfId="208" xr:uid="{4C5FACBA-C108-4658-9BCF-524704799671}"/>
    <cellStyle name="Обычный 37 2" xfId="240" xr:uid="{11DAF161-188F-4F61-BA58-8F5A3F10BD18}"/>
    <cellStyle name="Обычный 38" xfId="218" xr:uid="{D999B947-73B8-48B4-80A6-04DBB3276103}"/>
    <cellStyle name="Обычный 39" xfId="230" xr:uid="{70A8B1D6-4023-4A32-BBE1-CB7134452FA3}"/>
    <cellStyle name="Обычный 39 2" xfId="244" xr:uid="{428C2BE6-C592-4A8B-9601-686D5A1B459E}"/>
    <cellStyle name="Обычный 39 3" xfId="253" xr:uid="{4B77C1E9-7EE8-403A-A48A-6E8CF7D54452}"/>
    <cellStyle name="Обычный 4" xfId="129" xr:uid="{00000000-0005-0000-0000-0000B0000000}"/>
    <cellStyle name="Обычный 4 10" xfId="189" xr:uid="{02FBD7BF-7985-4329-AF09-695FC94C7EF6}"/>
    <cellStyle name="Обычный 4 11" xfId="214" xr:uid="{B09A3959-68D6-4054-AF00-B835C178EACE}"/>
    <cellStyle name="Обычный 4 12" xfId="231" xr:uid="{874242A6-15B3-425A-99C0-1653522AAB8A}"/>
    <cellStyle name="Обычный 4 12 2" xfId="246" xr:uid="{B486BB57-96EA-4679-A8CD-160ADCA45183}"/>
    <cellStyle name="Обычный 4 12 3" xfId="254" xr:uid="{CE7C6743-17FF-4702-B4C4-72BC92BA4A5A}"/>
    <cellStyle name="Обычный 4 13" xfId="235" xr:uid="{4C07E3B3-C6C5-4485-A84F-FEAC71364045}"/>
    <cellStyle name="Обычный 4 2" xfId="130" xr:uid="{00000000-0005-0000-0000-0000B1000000}"/>
    <cellStyle name="Обычный 4 2 2" xfId="131" xr:uid="{00000000-0005-0000-0000-0000B2000000}"/>
    <cellStyle name="Обычный 4 2 2 2" xfId="179" xr:uid="{CEDCA542-38AF-4F31-9E18-C25553C608C5}"/>
    <cellStyle name="Обычный 4 3" xfId="132" xr:uid="{00000000-0005-0000-0000-0000B3000000}"/>
    <cellStyle name="Обычный 4 3 2" xfId="133" xr:uid="{00000000-0005-0000-0000-0000B4000000}"/>
    <cellStyle name="Обычный 4 3 2 2" xfId="166" xr:uid="{1E25D8CF-E982-4421-B90D-36296F1CB257}"/>
    <cellStyle name="Обычный 4 3 2 2 2" xfId="195" xr:uid="{9F4B904D-0CB9-4C08-AF17-C8CBA01F3B58}"/>
    <cellStyle name="Обычный 4 4" xfId="134" xr:uid="{00000000-0005-0000-0000-0000B5000000}"/>
    <cellStyle name="Обычный 4 4 2" xfId="135" xr:uid="{00000000-0005-0000-0000-0000B6000000}"/>
    <cellStyle name="Обычный 4 4 2 2" xfId="164" xr:uid="{5C77B14B-2775-417A-BE17-11CD0889E8DB}"/>
    <cellStyle name="Обычный 4 4 2 2 2" xfId="263" xr:uid="{9D3C9B24-EF32-4B0F-BD97-D8F2E7B91B79}"/>
    <cellStyle name="Обычный 4 5" xfId="136" xr:uid="{00000000-0005-0000-0000-0000B7000000}"/>
    <cellStyle name="Обычный 4 6" xfId="137" xr:uid="{00000000-0005-0000-0000-0000B8000000}"/>
    <cellStyle name="Обычный 4 7" xfId="138" xr:uid="{00000000-0005-0000-0000-0000B9000000}"/>
    <cellStyle name="Обычный 4 8" xfId="159" xr:uid="{98CA22BA-0965-4ABC-A6FB-5F0C370B52D5}"/>
    <cellStyle name="Обычный 4 8 2" xfId="262" xr:uid="{E7F74FBC-D220-4051-9D41-188CE11736CA}"/>
    <cellStyle name="Обычный 4 9" xfId="183" xr:uid="{4FCC054A-3962-4637-83A9-749DB14A1288}"/>
    <cellStyle name="Обычный 40" xfId="259" xr:uid="{144D1714-E301-4C92-A9C8-FA3FFDE7A1CD}"/>
    <cellStyle name="Обычный 5" xfId="139" xr:uid="{00000000-0005-0000-0000-0000BA000000}"/>
    <cellStyle name="Обычный 5 2" xfId="140" xr:uid="{00000000-0005-0000-0000-0000BB000000}"/>
    <cellStyle name="Обычный 5 2 2" xfId="141" xr:uid="{00000000-0005-0000-0000-0000BC000000}"/>
    <cellStyle name="Обычный 5 3" xfId="142" xr:uid="{00000000-0005-0000-0000-0000BD000000}"/>
    <cellStyle name="Обычный 5 4" xfId="143" xr:uid="{00000000-0005-0000-0000-0000BE000000}"/>
    <cellStyle name="Обычный 6" xfId="144" xr:uid="{00000000-0005-0000-0000-0000BF000000}"/>
    <cellStyle name="Обычный 6 2" xfId="145" xr:uid="{00000000-0005-0000-0000-0000C0000000}"/>
    <cellStyle name="Обычный 6 3" xfId="146" xr:uid="{00000000-0005-0000-0000-0000C1000000}"/>
    <cellStyle name="Обычный 6 4" xfId="147" xr:uid="{00000000-0005-0000-0000-0000C2000000}"/>
    <cellStyle name="Обычный 7" xfId="148" xr:uid="{00000000-0005-0000-0000-0000C3000000}"/>
    <cellStyle name="Обычный 7 2" xfId="149" xr:uid="{00000000-0005-0000-0000-0000C4000000}"/>
    <cellStyle name="Обычный 7 3" xfId="150" xr:uid="{00000000-0005-0000-0000-0000C5000000}"/>
    <cellStyle name="Обычный 8" xfId="151" xr:uid="{00000000-0005-0000-0000-0000C6000000}"/>
    <cellStyle name="Обычный 8 2" xfId="152" xr:uid="{00000000-0005-0000-0000-0000C7000000}"/>
    <cellStyle name="Обычный 9" xfId="153" xr:uid="{00000000-0005-0000-0000-0000C8000000}"/>
    <cellStyle name="Обычный 9 2" xfId="154" xr:uid="{00000000-0005-0000-0000-0000C9000000}"/>
    <cellStyle name="Обычный 9 2 2" xfId="174" xr:uid="{C649BFD3-F973-4179-85B8-D2A77D1616B6}"/>
    <cellStyle name="Обычный 9 2 2 2" xfId="193" xr:uid="{3D6A0767-B3E8-46C1-B0E6-6A6319DC9249}"/>
    <cellStyle name="Обычный 9 2 3" xfId="186" xr:uid="{17ADE1E8-63E3-4E0A-B571-27990E131A9A}"/>
    <cellStyle name="УровеньСтрок_1" xfId="155" xr:uid="{00000000-0005-0000-0000-0000CA000000}"/>
    <cellStyle name="Финансовый 2" xfId="156" xr:uid="{00000000-0005-0000-0000-0000CC000000}"/>
    <cellStyle name="Финансовый 3" xfId="251" xr:uid="{EC91F2EC-2862-444B-89D3-18724C2972C0}"/>
  </cellStyles>
  <dxfs count="2">
    <dxf>
      <font>
        <b/>
        <color theme="1"/>
      </font>
      <border>
        <bottom/>
        <vertical/>
        <horizontal/>
      </border>
    </dxf>
    <dxf>
      <font>
        <color theme="0"/>
      </font>
      <fill>
        <patternFill patternType="solid">
          <fgColor rgb="FF009999"/>
        </patternFill>
      </fill>
      <border>
        <left/>
        <right/>
        <top/>
        <bottom/>
        <vertical/>
        <horizontal/>
      </border>
    </dxf>
  </dxfs>
  <tableStyles count="1" defaultTableStyle="TableStyleMedium2" defaultPivotStyle="PivotStyleLight16">
    <tableStyle name="Дашборд 2 2 2 2 2 2" pivot="0" table="0" count="2" xr9:uid="{A668EC51-C8D2-4949-8BAC-E5FEA23FB4FF}">
      <tableStyleElement type="wholeTable" dxfId="1"/>
      <tableStyleElement type="headerRow" dxfId="0"/>
    </tableStyle>
  </tableStyles>
  <colors>
    <mruColors>
      <color rgb="FFE1E1FF"/>
      <color rgb="FFFFE5E5"/>
      <color rgb="FFBDD7EE"/>
      <color rgb="FFFFEFEF"/>
      <color rgb="FFE1FFE1"/>
      <color rgb="FFCCFFFF"/>
      <color rgb="FF008080"/>
      <color rgb="FF008D8A"/>
      <color rgb="FF008480"/>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gradFill>
      </a:fillStyleLst>
      <a:lnStyleLst>
        <a:ln w="6350">
          <a:solidFill>
            <a:schemeClr val="phClr"/>
          </a:solidFill>
          <a:prstDash val="solid"/>
        </a:ln>
        <a:ln w="12700">
          <a:solidFill>
            <a:schemeClr val="phClr"/>
          </a:solidFill>
          <a:prstDash val="solid"/>
        </a:ln>
        <a:ln w="1905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tabColor theme="5" tint="-0.249977111117893"/>
    <outlinePr summaryBelow="0"/>
    <pageSetUpPr fitToPage="1"/>
  </sheetPr>
  <dimension ref="A1:O59"/>
  <sheetViews>
    <sheetView tabSelected="1" topLeftCell="B6" zoomScale="82" zoomScaleNormal="60" workbookViewId="0">
      <selection activeCell="C4" sqref="C4"/>
    </sheetView>
  </sheetViews>
  <sheetFormatPr baseColWidth="10" defaultColWidth="9" defaultRowHeight="15" outlineLevelRow="1"/>
  <cols>
    <col min="1" max="1" width="7.1640625" style="296" hidden="1" customWidth="1"/>
    <col min="2" max="2" width="38.83203125" style="296" customWidth="1"/>
    <col min="3" max="3" width="70.1640625" style="296" customWidth="1"/>
    <col min="4" max="4" width="105.1640625" style="296" customWidth="1"/>
    <col min="5" max="5" width="6.1640625" style="296" customWidth="1"/>
    <col min="6" max="16384" width="9" style="296"/>
  </cols>
  <sheetData>
    <row r="1" spans="1:15" s="292" customFormat="1" ht="33" customHeight="1">
      <c r="A1" s="297" t="s">
        <v>0</v>
      </c>
      <c r="B1" s="297" t="s">
        <v>1</v>
      </c>
      <c r="C1" s="297" t="s">
        <v>2</v>
      </c>
      <c r="D1" s="297" t="s">
        <v>3</v>
      </c>
      <c r="E1" s="413" t="s">
        <v>4</v>
      </c>
      <c r="F1" s="414"/>
      <c r="G1" s="414"/>
      <c r="H1" s="414"/>
      <c r="I1" s="414"/>
      <c r="J1" s="414"/>
      <c r="K1" s="414"/>
      <c r="L1" s="414"/>
      <c r="M1" s="414"/>
      <c r="N1" s="414"/>
      <c r="O1" s="414"/>
    </row>
    <row r="2" spans="1:15" s="293" customFormat="1" ht="95.75" customHeight="1">
      <c r="A2" s="298"/>
      <c r="B2" s="299" t="s">
        <v>5</v>
      </c>
      <c r="C2" s="300" t="s">
        <v>6</v>
      </c>
      <c r="D2" s="301" t="s">
        <v>1317</v>
      </c>
      <c r="E2" s="413"/>
      <c r="F2" s="414"/>
      <c r="G2" s="414"/>
      <c r="H2" s="414"/>
      <c r="I2" s="414"/>
      <c r="J2" s="414"/>
      <c r="K2" s="414"/>
      <c r="L2" s="414"/>
      <c r="M2" s="414"/>
      <c r="N2" s="414"/>
      <c r="O2" s="414"/>
    </row>
    <row r="3" spans="1:15" s="293" customFormat="1" ht="80">
      <c r="A3" s="298"/>
      <c r="B3" s="300" t="s">
        <v>7</v>
      </c>
      <c r="C3" s="300" t="s">
        <v>8</v>
      </c>
      <c r="D3" s="301" t="s">
        <v>1318</v>
      </c>
      <c r="E3" s="302"/>
      <c r="F3" s="303"/>
      <c r="G3" s="303"/>
      <c r="H3" s="303"/>
      <c r="I3" s="303"/>
      <c r="J3" s="303"/>
      <c r="K3" s="303"/>
      <c r="L3" s="303"/>
      <c r="M3" s="303"/>
      <c r="N3" s="303"/>
      <c r="O3" s="303"/>
    </row>
    <row r="4" spans="1:15" ht="60">
      <c r="A4" s="298"/>
      <c r="B4" s="299" t="s">
        <v>9</v>
      </c>
      <c r="C4" s="300" t="s">
        <v>10</v>
      </c>
      <c r="D4" s="301" t="s">
        <v>11</v>
      </c>
    </row>
    <row r="5" spans="1:15" s="293" customFormat="1" ht="60">
      <c r="A5" s="304"/>
      <c r="B5" s="304" t="s">
        <v>12</v>
      </c>
      <c r="C5" s="305" t="s">
        <v>13</v>
      </c>
      <c r="D5" s="306" t="s">
        <v>1319</v>
      </c>
    </row>
    <row r="6" spans="1:15" s="293" customFormat="1" ht="80">
      <c r="A6" s="304"/>
      <c r="B6" s="304" t="s">
        <v>14</v>
      </c>
      <c r="C6" s="305" t="s">
        <v>15</v>
      </c>
      <c r="D6" s="307" t="s">
        <v>16</v>
      </c>
    </row>
    <row r="7" spans="1:15" s="293" customFormat="1" ht="160">
      <c r="A7" s="298"/>
      <c r="B7" s="299" t="s">
        <v>17</v>
      </c>
      <c r="C7" s="300" t="s">
        <v>18</v>
      </c>
      <c r="D7" s="308" t="s">
        <v>19</v>
      </c>
    </row>
    <row r="8" spans="1:15" s="293" customFormat="1" ht="154.25" customHeight="1">
      <c r="A8" s="309"/>
      <c r="B8" s="309" t="s">
        <v>20</v>
      </c>
      <c r="C8" s="310" t="s">
        <v>21</v>
      </c>
      <c r="D8" s="311" t="s">
        <v>1320</v>
      </c>
    </row>
    <row r="9" spans="1:15" s="293" customFormat="1" ht="40">
      <c r="A9" s="309"/>
      <c r="B9" s="309" t="s">
        <v>22</v>
      </c>
      <c r="C9" s="312" t="s">
        <v>23</v>
      </c>
      <c r="D9" s="311" t="s">
        <v>1321</v>
      </c>
    </row>
    <row r="10" spans="1:15" s="293" customFormat="1" ht="60">
      <c r="A10" s="309"/>
      <c r="B10" s="309" t="s">
        <v>24</v>
      </c>
      <c r="C10" s="312" t="s">
        <v>25</v>
      </c>
      <c r="D10" s="311" t="s">
        <v>26</v>
      </c>
    </row>
    <row r="11" spans="1:15" s="294" customFormat="1" ht="40" collapsed="1">
      <c r="A11" s="313" t="s">
        <v>27</v>
      </c>
      <c r="B11" s="314" t="s">
        <v>28</v>
      </c>
      <c r="C11" s="314" t="s">
        <v>29</v>
      </c>
      <c r="D11" s="315" t="s">
        <v>30</v>
      </c>
    </row>
    <row r="12" spans="1:15" s="294" customFormat="1" ht="160" hidden="1" outlineLevel="1">
      <c r="A12" s="314"/>
      <c r="B12" s="316" t="s">
        <v>31</v>
      </c>
      <c r="C12" s="316" t="s">
        <v>32</v>
      </c>
      <c r="D12" s="317" t="s">
        <v>33</v>
      </c>
    </row>
    <row r="13" spans="1:15" s="294" customFormat="1" ht="140" hidden="1" outlineLevel="1">
      <c r="A13" s="314"/>
      <c r="B13" s="316" t="s">
        <v>34</v>
      </c>
      <c r="C13" s="317" t="s">
        <v>35</v>
      </c>
      <c r="D13" s="317" t="s">
        <v>36</v>
      </c>
    </row>
    <row r="14" spans="1:15" s="294" customFormat="1" ht="214.5" hidden="1" customHeight="1" outlineLevel="1">
      <c r="A14" s="314"/>
      <c r="B14" s="316" t="s">
        <v>37</v>
      </c>
      <c r="C14" s="316" t="s">
        <v>38</v>
      </c>
      <c r="D14" s="317" t="s">
        <v>39</v>
      </c>
    </row>
    <row r="15" spans="1:15" s="294" customFormat="1" ht="140" hidden="1" outlineLevel="1">
      <c r="A15" s="314"/>
      <c r="B15" s="317" t="s">
        <v>40</v>
      </c>
      <c r="C15" s="317" t="s">
        <v>41</v>
      </c>
      <c r="D15" s="317" t="s">
        <v>42</v>
      </c>
    </row>
    <row r="16" spans="1:15" s="294" customFormat="1" ht="80" hidden="1" outlineLevel="1">
      <c r="A16" s="314"/>
      <c r="B16" s="316" t="s">
        <v>43</v>
      </c>
      <c r="C16" s="317" t="s">
        <v>44</v>
      </c>
      <c r="D16" s="317" t="s">
        <v>45</v>
      </c>
    </row>
    <row r="17" spans="1:4" ht="42" customHeight="1" collapsed="1">
      <c r="A17" s="314"/>
      <c r="B17" s="314" t="s">
        <v>46</v>
      </c>
      <c r="C17" s="318" t="s">
        <v>47</v>
      </c>
      <c r="D17" s="315" t="s">
        <v>48</v>
      </c>
    </row>
    <row r="18" spans="1:4" ht="40" hidden="1" outlineLevel="1">
      <c r="A18" s="319"/>
      <c r="B18" s="316" t="s">
        <v>49</v>
      </c>
      <c r="C18" s="320" t="s">
        <v>50</v>
      </c>
      <c r="D18" s="317" t="s">
        <v>51</v>
      </c>
    </row>
    <row r="19" spans="1:4" ht="40" hidden="1" outlineLevel="1">
      <c r="A19" s="319"/>
      <c r="B19" s="316" t="s">
        <v>52</v>
      </c>
      <c r="C19" s="320" t="s">
        <v>53</v>
      </c>
      <c r="D19" s="317" t="s">
        <v>54</v>
      </c>
    </row>
    <row r="20" spans="1:4" ht="60" hidden="1" outlineLevel="1">
      <c r="A20" s="319"/>
      <c r="B20" s="316" t="s">
        <v>55</v>
      </c>
      <c r="C20" s="320" t="s">
        <v>56</v>
      </c>
      <c r="D20" s="317" t="s">
        <v>57</v>
      </c>
    </row>
    <row r="21" spans="1:4" ht="40" hidden="1" outlineLevel="1">
      <c r="A21" s="314"/>
      <c r="B21" s="316" t="s">
        <v>58</v>
      </c>
      <c r="C21" s="321" t="s">
        <v>59</v>
      </c>
      <c r="D21" s="317" t="s">
        <v>60</v>
      </c>
    </row>
    <row r="22" spans="1:4" ht="40" hidden="1" outlineLevel="1">
      <c r="A22" s="314"/>
      <c r="B22" s="316" t="s">
        <v>61</v>
      </c>
      <c r="C22" s="320" t="s">
        <v>62</v>
      </c>
      <c r="D22" s="317" t="s">
        <v>63</v>
      </c>
    </row>
    <row r="23" spans="1:4" ht="40" hidden="1" outlineLevel="1">
      <c r="A23" s="314"/>
      <c r="B23" s="316" t="s">
        <v>64</v>
      </c>
      <c r="C23" s="321" t="s">
        <v>65</v>
      </c>
      <c r="D23" s="317" t="s">
        <v>66</v>
      </c>
    </row>
    <row r="24" spans="1:4" ht="40" hidden="1" outlineLevel="1">
      <c r="A24" s="314"/>
      <c r="B24" s="316" t="s">
        <v>67</v>
      </c>
      <c r="C24" s="320" t="s">
        <v>68</v>
      </c>
      <c r="D24" s="317" t="s">
        <v>69</v>
      </c>
    </row>
    <row r="25" spans="1:4" ht="40" hidden="1" outlineLevel="1">
      <c r="A25" s="314"/>
      <c r="B25" s="316" t="s">
        <v>70</v>
      </c>
      <c r="C25" s="320" t="s">
        <v>71</v>
      </c>
      <c r="D25" s="317" t="s">
        <v>72</v>
      </c>
    </row>
    <row r="26" spans="1:4" ht="80" hidden="1" outlineLevel="1">
      <c r="A26" s="314"/>
      <c r="B26" s="316" t="s">
        <v>73</v>
      </c>
      <c r="C26" s="320" t="s">
        <v>74</v>
      </c>
      <c r="D26" s="317" t="s">
        <v>75</v>
      </c>
    </row>
    <row r="27" spans="1:4" ht="40" hidden="1" outlineLevel="1">
      <c r="A27" s="314"/>
      <c r="B27" s="316" t="s">
        <v>76</v>
      </c>
      <c r="C27" s="320" t="s">
        <v>77</v>
      </c>
      <c r="D27" s="317" t="s">
        <v>78</v>
      </c>
    </row>
    <row r="28" spans="1:4" ht="34.5" customHeight="1" collapsed="1">
      <c r="A28" s="322" t="s">
        <v>79</v>
      </c>
      <c r="B28" s="323" t="s">
        <v>80</v>
      </c>
      <c r="C28" s="323" t="s">
        <v>81</v>
      </c>
      <c r="D28" s="324" t="s">
        <v>82</v>
      </c>
    </row>
    <row r="29" spans="1:4" ht="40" hidden="1" outlineLevel="1">
      <c r="A29" s="325"/>
      <c r="B29" s="326" t="s">
        <v>83</v>
      </c>
      <c r="C29" s="327" t="s">
        <v>84</v>
      </c>
      <c r="D29" s="324" t="s">
        <v>85</v>
      </c>
    </row>
    <row r="30" spans="1:4" ht="60" hidden="1" outlineLevel="1">
      <c r="A30" s="325"/>
      <c r="B30" s="326" t="s">
        <v>86</v>
      </c>
      <c r="C30" s="327" t="s">
        <v>87</v>
      </c>
      <c r="D30" s="324" t="s">
        <v>88</v>
      </c>
    </row>
    <row r="31" spans="1:4" ht="60" hidden="1" outlineLevel="1">
      <c r="A31" s="322"/>
      <c r="B31" s="326" t="s">
        <v>89</v>
      </c>
      <c r="C31" s="327" t="s">
        <v>90</v>
      </c>
      <c r="D31" s="324" t="s">
        <v>91</v>
      </c>
    </row>
    <row r="32" spans="1:4" ht="80" collapsed="1">
      <c r="A32" s="328" t="s">
        <v>92</v>
      </c>
      <c r="B32" s="329" t="s">
        <v>93</v>
      </c>
      <c r="C32" s="329" t="s">
        <v>94</v>
      </c>
      <c r="D32" s="330" t="s">
        <v>95</v>
      </c>
    </row>
    <row r="33" spans="1:4" ht="40" hidden="1" outlineLevel="1">
      <c r="A33" s="328"/>
      <c r="B33" s="331" t="s">
        <v>96</v>
      </c>
      <c r="C33" s="331" t="s">
        <v>97</v>
      </c>
      <c r="D33" s="332" t="s">
        <v>98</v>
      </c>
    </row>
    <row r="34" spans="1:4" ht="60" hidden="1" outlineLevel="1">
      <c r="A34" s="328"/>
      <c r="B34" s="331" t="s">
        <v>99</v>
      </c>
      <c r="C34" s="331" t="s">
        <v>100</v>
      </c>
      <c r="D34" s="332" t="s">
        <v>101</v>
      </c>
    </row>
    <row r="35" spans="1:4" ht="40" hidden="1" outlineLevel="1">
      <c r="A35" s="328"/>
      <c r="B35" s="331" t="s">
        <v>102</v>
      </c>
      <c r="C35" s="331" t="s">
        <v>103</v>
      </c>
      <c r="D35" s="332" t="s">
        <v>104</v>
      </c>
    </row>
    <row r="36" spans="1:4" ht="47.75" hidden="1" customHeight="1" outlineLevel="1">
      <c r="A36" s="328"/>
      <c r="B36" s="331" t="s">
        <v>105</v>
      </c>
      <c r="C36" s="331" t="s">
        <v>106</v>
      </c>
      <c r="D36" s="332" t="s">
        <v>107</v>
      </c>
    </row>
    <row r="37" spans="1:4" ht="40" hidden="1" outlineLevel="1">
      <c r="A37" s="328"/>
      <c r="B37" s="331" t="s">
        <v>108</v>
      </c>
      <c r="C37" s="331" t="s">
        <v>109</v>
      </c>
      <c r="D37" s="332" t="s">
        <v>110</v>
      </c>
    </row>
    <row r="38" spans="1:4" ht="60" hidden="1" outlineLevel="1">
      <c r="A38" s="328"/>
      <c r="B38" s="331" t="s">
        <v>111</v>
      </c>
      <c r="C38" s="332" t="s">
        <v>112</v>
      </c>
      <c r="D38" s="332" t="s">
        <v>113</v>
      </c>
    </row>
    <row r="39" spans="1:4" s="295" customFormat="1" ht="40" collapsed="1">
      <c r="A39" s="329" t="s">
        <v>114</v>
      </c>
      <c r="B39" s="329" t="s">
        <v>115</v>
      </c>
      <c r="C39" s="329" t="s">
        <v>116</v>
      </c>
      <c r="D39" s="330" t="s">
        <v>117</v>
      </c>
    </row>
    <row r="40" spans="1:4" s="295" customFormat="1" ht="40" hidden="1" outlineLevel="1">
      <c r="A40" s="329"/>
      <c r="B40" s="333" t="s">
        <v>118</v>
      </c>
      <c r="C40" s="333" t="s">
        <v>119</v>
      </c>
      <c r="D40" s="332" t="s">
        <v>120</v>
      </c>
    </row>
    <row r="41" spans="1:4" ht="40" hidden="1" outlineLevel="1">
      <c r="A41" s="329"/>
      <c r="B41" s="333" t="s">
        <v>121</v>
      </c>
      <c r="C41" s="334" t="s">
        <v>122</v>
      </c>
      <c r="D41" s="332" t="s">
        <v>123</v>
      </c>
    </row>
    <row r="42" spans="1:4" ht="40" hidden="1" outlineLevel="1">
      <c r="A42" s="329"/>
      <c r="B42" s="333" t="s">
        <v>124</v>
      </c>
      <c r="C42" s="334" t="s">
        <v>125</v>
      </c>
      <c r="D42" s="332" t="s">
        <v>126</v>
      </c>
    </row>
    <row r="43" spans="1:4" ht="60" hidden="1" outlineLevel="1">
      <c r="A43" s="329"/>
      <c r="B43" s="333" t="s">
        <v>127</v>
      </c>
      <c r="C43" s="334" t="s">
        <v>128</v>
      </c>
      <c r="D43" s="332" t="s">
        <v>129</v>
      </c>
    </row>
    <row r="44" spans="1:4" ht="40" hidden="1" outlineLevel="1">
      <c r="A44" s="329"/>
      <c r="B44" s="333" t="s">
        <v>130</v>
      </c>
      <c r="C44" s="334" t="s">
        <v>131</v>
      </c>
      <c r="D44" s="332" t="s">
        <v>132</v>
      </c>
    </row>
    <row r="45" spans="1:4" ht="40" hidden="1" outlineLevel="1">
      <c r="A45" s="329"/>
      <c r="B45" s="333" t="s">
        <v>133</v>
      </c>
      <c r="C45" s="334" t="s">
        <v>134</v>
      </c>
      <c r="D45" s="332" t="s">
        <v>135</v>
      </c>
    </row>
    <row r="46" spans="1:4" ht="40" collapsed="1">
      <c r="A46" s="335" t="s">
        <v>136</v>
      </c>
      <c r="B46" s="336" t="s">
        <v>137</v>
      </c>
      <c r="C46" s="335" t="s">
        <v>138</v>
      </c>
      <c r="D46" s="336" t="s">
        <v>139</v>
      </c>
    </row>
    <row r="47" spans="1:4" ht="60" hidden="1" outlineLevel="1">
      <c r="A47" s="337"/>
      <c r="B47" s="338" t="s">
        <v>140</v>
      </c>
      <c r="C47" s="339" t="s">
        <v>141</v>
      </c>
      <c r="D47" s="340" t="s">
        <v>142</v>
      </c>
    </row>
    <row r="48" spans="1:4" ht="40" hidden="1" outlineLevel="1">
      <c r="A48" s="337"/>
      <c r="B48" s="338" t="s">
        <v>143</v>
      </c>
      <c r="C48" s="339" t="s">
        <v>144</v>
      </c>
      <c r="D48" s="340" t="s">
        <v>145</v>
      </c>
    </row>
    <row r="49" spans="1:4" ht="60" hidden="1" outlineLevel="1">
      <c r="A49" s="337"/>
      <c r="B49" s="338" t="s">
        <v>146</v>
      </c>
      <c r="C49" s="339" t="s">
        <v>147</v>
      </c>
      <c r="D49" s="340" t="s">
        <v>148</v>
      </c>
    </row>
    <row r="50" spans="1:4" ht="40">
      <c r="A50" s="335" t="s">
        <v>149</v>
      </c>
      <c r="B50" s="341" t="s">
        <v>150</v>
      </c>
      <c r="C50" s="342" t="s">
        <v>151</v>
      </c>
      <c r="D50" s="342" t="s">
        <v>152</v>
      </c>
    </row>
    <row r="51" spans="1:4" ht="60" outlineLevel="1">
      <c r="A51" s="337"/>
      <c r="B51" s="343" t="s">
        <v>153</v>
      </c>
      <c r="C51" s="343" t="s">
        <v>154</v>
      </c>
      <c r="D51" s="344" t="s">
        <v>155</v>
      </c>
    </row>
    <row r="52" spans="1:4" ht="60" outlineLevel="1">
      <c r="A52" s="337"/>
      <c r="B52" s="343" t="s">
        <v>156</v>
      </c>
      <c r="C52" s="343" t="s">
        <v>157</v>
      </c>
      <c r="D52" s="344" t="s">
        <v>158</v>
      </c>
    </row>
    <row r="53" spans="1:4" ht="40" collapsed="1">
      <c r="A53" s="335" t="s">
        <v>159</v>
      </c>
      <c r="B53" s="345" t="s">
        <v>160</v>
      </c>
      <c r="C53" s="345" t="s">
        <v>161</v>
      </c>
      <c r="D53" s="346" t="s">
        <v>162</v>
      </c>
    </row>
    <row r="54" spans="1:4" ht="60" hidden="1" outlineLevel="1">
      <c r="A54" s="335"/>
      <c r="B54" s="347" t="s">
        <v>163</v>
      </c>
      <c r="C54" s="347" t="s">
        <v>164</v>
      </c>
      <c r="D54" s="348" t="s">
        <v>165</v>
      </c>
    </row>
    <row r="55" spans="1:4" ht="40" hidden="1" outlineLevel="1">
      <c r="A55" s="335"/>
      <c r="B55" s="347" t="s">
        <v>166</v>
      </c>
      <c r="C55" s="347" t="s">
        <v>167</v>
      </c>
      <c r="D55" s="348" t="s">
        <v>168</v>
      </c>
    </row>
    <row r="56" spans="1:4" ht="40">
      <c r="B56" s="347" t="s">
        <v>169</v>
      </c>
      <c r="C56" s="347" t="s">
        <v>170</v>
      </c>
      <c r="D56" s="349" t="s">
        <v>171</v>
      </c>
    </row>
    <row r="57" spans="1:4">
      <c r="C57" s="350"/>
    </row>
    <row r="58" spans="1:4">
      <c r="C58" s="350"/>
    </row>
    <row r="59" spans="1:4" ht="16.5" customHeight="1">
      <c r="C59" s="350"/>
    </row>
  </sheetData>
  <mergeCells count="1">
    <mergeCell ref="E1:O2"/>
  </mergeCells>
  <pageMargins left="0.7" right="0.7" top="0.75" bottom="0.75" header="0.3" footer="0.3"/>
  <pageSetup paperSize="8" scale="42" fitToHeight="0" orientation="landscape"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A1:D39"/>
  <sheetViews>
    <sheetView topLeftCell="A22" zoomScale="60" zoomScaleNormal="60" workbookViewId="0">
      <selection activeCell="C4" sqref="C4"/>
    </sheetView>
  </sheetViews>
  <sheetFormatPr baseColWidth="10" defaultColWidth="8.83203125" defaultRowHeight="19"/>
  <cols>
    <col min="1" max="1" width="25.5" style="352" customWidth="1"/>
    <col min="2" max="2" width="72.83203125" style="352" customWidth="1"/>
    <col min="3" max="3" width="60.1640625" style="352" customWidth="1"/>
    <col min="4" max="4" width="19.1640625" style="352" customWidth="1"/>
    <col min="5" max="5" width="26.1640625" style="352" customWidth="1"/>
    <col min="6" max="6" width="35.1640625" style="352" customWidth="1"/>
    <col min="7" max="16384" width="8.83203125" style="352"/>
  </cols>
  <sheetData>
    <row r="1" spans="1:4" s="372" customFormat="1" ht="21">
      <c r="A1" s="415" t="s">
        <v>172</v>
      </c>
      <c r="B1" s="415"/>
    </row>
    <row r="2" spans="1:4" ht="60">
      <c r="A2" s="353" t="s">
        <v>1308</v>
      </c>
      <c r="B2" s="354" t="s">
        <v>173</v>
      </c>
    </row>
    <row r="3" spans="1:4">
      <c r="A3" s="416" t="s">
        <v>174</v>
      </c>
      <c r="B3" s="416"/>
    </row>
    <row r="4" spans="1:4" ht="160">
      <c r="A4" s="355" t="s">
        <v>175</v>
      </c>
      <c r="B4" s="354" t="s">
        <v>176</v>
      </c>
    </row>
    <row r="5" spans="1:4" ht="200">
      <c r="A5" s="356" t="s">
        <v>1309</v>
      </c>
      <c r="B5" s="357" t="s">
        <v>177</v>
      </c>
    </row>
    <row r="6" spans="1:4" ht="13.5" customHeight="1">
      <c r="A6" s="417"/>
      <c r="B6" s="417"/>
    </row>
    <row r="7" spans="1:4" ht="40">
      <c r="A7" s="353" t="s">
        <v>1310</v>
      </c>
      <c r="B7" s="358" t="s">
        <v>178</v>
      </c>
    </row>
    <row r="8" spans="1:4" ht="20">
      <c r="A8" s="355" t="s">
        <v>179</v>
      </c>
      <c r="B8" s="357" t="s">
        <v>180</v>
      </c>
    </row>
    <row r="9" spans="1:4" ht="15.75" customHeight="1">
      <c r="A9" s="417"/>
      <c r="B9" s="417"/>
    </row>
    <row r="10" spans="1:4" ht="220">
      <c r="A10" s="355" t="s">
        <v>181</v>
      </c>
      <c r="B10" s="357" t="s">
        <v>182</v>
      </c>
    </row>
    <row r="11" spans="1:4" ht="15" customHeight="1">
      <c r="A11" s="418"/>
      <c r="B11" s="418"/>
    </row>
    <row r="12" spans="1:4" ht="60">
      <c r="A12" s="355" t="s">
        <v>183</v>
      </c>
      <c r="B12" s="357" t="s">
        <v>184</v>
      </c>
      <c r="D12" s="359"/>
    </row>
    <row r="13" spans="1:4" ht="13.5" customHeight="1">
      <c r="A13" s="417"/>
      <c r="B13" s="417"/>
    </row>
    <row r="14" spans="1:4" ht="20">
      <c r="A14" s="360" t="s">
        <v>185</v>
      </c>
      <c r="B14" s="361" t="s">
        <v>186</v>
      </c>
    </row>
    <row r="15" spans="1:4" ht="14.75" customHeight="1">
      <c r="A15" s="417"/>
      <c r="B15" s="417"/>
    </row>
    <row r="16" spans="1:4" ht="80">
      <c r="A16" s="360" t="s">
        <v>187</v>
      </c>
      <c r="B16" s="357" t="s">
        <v>188</v>
      </c>
    </row>
    <row r="17" spans="1:2" ht="200">
      <c r="A17" s="362" t="s">
        <v>189</v>
      </c>
      <c r="B17" s="357" t="s">
        <v>190</v>
      </c>
    </row>
    <row r="18" spans="1:2" ht="9" customHeight="1"/>
    <row r="19" spans="1:2" ht="9" customHeight="1"/>
    <row r="21" spans="1:2">
      <c r="A21" s="419" t="s">
        <v>191</v>
      </c>
      <c r="B21" s="419"/>
    </row>
    <row r="23" spans="1:2" ht="38.25" customHeight="1">
      <c r="A23" s="420" t="s">
        <v>1311</v>
      </c>
      <c r="B23" s="421"/>
    </row>
    <row r="24" spans="1:2" ht="106.5" customHeight="1">
      <c r="A24" s="422" t="s">
        <v>1312</v>
      </c>
      <c r="B24" s="422"/>
    </row>
    <row r="26" spans="1:2" ht="32.75" customHeight="1">
      <c r="A26" s="420" t="s">
        <v>1313</v>
      </c>
      <c r="B26" s="421"/>
    </row>
    <row r="27" spans="1:2" ht="93.75" customHeight="1">
      <c r="A27" s="422" t="s">
        <v>1314</v>
      </c>
      <c r="B27" s="422"/>
    </row>
    <row r="29" spans="1:2">
      <c r="A29" s="352" t="s">
        <v>192</v>
      </c>
    </row>
    <row r="30" spans="1:2">
      <c r="A30" s="423" t="s">
        <v>1315</v>
      </c>
      <c r="B30" s="423"/>
    </row>
    <row r="31" spans="1:2">
      <c r="A31" s="423" t="s">
        <v>1316</v>
      </c>
      <c r="B31" s="423"/>
    </row>
    <row r="34" spans="1:3">
      <c r="A34" s="424" t="s">
        <v>193</v>
      </c>
      <c r="B34" s="425"/>
      <c r="C34" s="426"/>
    </row>
    <row r="35" spans="1:3">
      <c r="A35" s="363" t="s">
        <v>194</v>
      </c>
      <c r="B35" s="364" t="s">
        <v>195</v>
      </c>
      <c r="C35" s="365" t="s">
        <v>196</v>
      </c>
    </row>
    <row r="36" spans="1:3">
      <c r="A36" s="366" t="s">
        <v>197</v>
      </c>
      <c r="B36" s="367" t="s">
        <v>198</v>
      </c>
      <c r="C36" s="368" t="s">
        <v>199</v>
      </c>
    </row>
    <row r="37" spans="1:3">
      <c r="A37" s="366" t="s">
        <v>200</v>
      </c>
      <c r="B37" s="367" t="s">
        <v>201</v>
      </c>
      <c r="C37" s="368" t="s">
        <v>202</v>
      </c>
    </row>
    <row r="38" spans="1:3">
      <c r="A38" s="366" t="s">
        <v>203</v>
      </c>
      <c r="B38" s="367" t="s">
        <v>204</v>
      </c>
      <c r="C38" s="368" t="s">
        <v>205</v>
      </c>
    </row>
    <row r="39" spans="1:3">
      <c r="A39" s="369" t="s">
        <v>206</v>
      </c>
      <c r="B39" s="370" t="s">
        <v>207</v>
      </c>
      <c r="C39" s="371" t="s">
        <v>208</v>
      </c>
    </row>
  </sheetData>
  <mergeCells count="15">
    <mergeCell ref="A26:B26"/>
    <mergeCell ref="A27:B27"/>
    <mergeCell ref="A30:B30"/>
    <mergeCell ref="A31:B31"/>
    <mergeCell ref="A34:C34"/>
    <mergeCell ref="A13:B13"/>
    <mergeCell ref="A15:B15"/>
    <mergeCell ref="A21:B21"/>
    <mergeCell ref="A23:B23"/>
    <mergeCell ref="A24:B24"/>
    <mergeCell ref="A1:B1"/>
    <mergeCell ref="A3:B3"/>
    <mergeCell ref="A6:B6"/>
    <mergeCell ref="A9:B9"/>
    <mergeCell ref="A11:B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dimension ref="A1:D72"/>
  <sheetViews>
    <sheetView zoomScale="60" zoomScaleNormal="60" workbookViewId="0">
      <selection activeCell="C4" sqref="C4"/>
    </sheetView>
  </sheetViews>
  <sheetFormatPr baseColWidth="10" defaultColWidth="9" defaultRowHeight="19"/>
  <cols>
    <col min="1" max="1" width="5.1640625" style="386" customWidth="1"/>
    <col min="2" max="2" width="23" style="386" customWidth="1"/>
    <col min="3" max="3" width="60.1640625" style="386" customWidth="1"/>
    <col min="4" max="16384" width="9" style="386"/>
  </cols>
  <sheetData>
    <row r="1" spans="1:4" s="390" customFormat="1" ht="66">
      <c r="A1" s="387" t="s">
        <v>209</v>
      </c>
      <c r="B1" s="387" t="s">
        <v>210</v>
      </c>
      <c r="C1" s="388" t="s">
        <v>211</v>
      </c>
      <c r="D1" s="389"/>
    </row>
    <row r="2" spans="1:4" s="374" customFormat="1" ht="20">
      <c r="A2" s="375">
        <v>1</v>
      </c>
      <c r="B2" s="375" t="s">
        <v>212</v>
      </c>
      <c r="C2" s="376" t="s">
        <v>212</v>
      </c>
      <c r="D2" s="377"/>
    </row>
    <row r="3" spans="1:4" s="374" customFormat="1" ht="20">
      <c r="A3" s="375">
        <v>2</v>
      </c>
      <c r="B3" s="375" t="s">
        <v>213</v>
      </c>
      <c r="C3" s="376" t="s">
        <v>213</v>
      </c>
      <c r="D3" s="377"/>
    </row>
    <row r="4" spans="1:4" s="374" customFormat="1" ht="20">
      <c r="A4" s="375">
        <v>3</v>
      </c>
      <c r="B4" s="378" t="s">
        <v>214</v>
      </c>
      <c r="C4" s="376" t="s">
        <v>215</v>
      </c>
      <c r="D4" s="373"/>
    </row>
    <row r="5" spans="1:4" s="374" customFormat="1" ht="20">
      <c r="A5" s="375">
        <v>4</v>
      </c>
      <c r="B5" s="378" t="s">
        <v>216</v>
      </c>
      <c r="C5" s="376" t="s">
        <v>217</v>
      </c>
      <c r="D5" s="373"/>
    </row>
    <row r="6" spans="1:4" s="374" customFormat="1" ht="20">
      <c r="A6" s="375">
        <v>5</v>
      </c>
      <c r="B6" s="378" t="s">
        <v>218</v>
      </c>
      <c r="C6" s="376" t="s">
        <v>219</v>
      </c>
      <c r="D6" s="373"/>
    </row>
    <row r="7" spans="1:4" s="374" customFormat="1" ht="20">
      <c r="A7" s="375">
        <v>6</v>
      </c>
      <c r="B7" s="379" t="s">
        <v>220</v>
      </c>
      <c r="C7" s="380" t="s">
        <v>221</v>
      </c>
      <c r="D7" s="381"/>
    </row>
    <row r="8" spans="1:4" s="374" customFormat="1" ht="20">
      <c r="A8" s="375">
        <v>7</v>
      </c>
      <c r="B8" s="378" t="s">
        <v>222</v>
      </c>
      <c r="C8" s="376" t="s">
        <v>223</v>
      </c>
      <c r="D8" s="373"/>
    </row>
    <row r="9" spans="1:4" s="374" customFormat="1" ht="20">
      <c r="A9" s="375">
        <v>8</v>
      </c>
      <c r="B9" s="378" t="s">
        <v>224</v>
      </c>
      <c r="C9" s="376" t="s">
        <v>225</v>
      </c>
      <c r="D9" s="373"/>
    </row>
    <row r="10" spans="1:4" s="374" customFormat="1" ht="20">
      <c r="A10" s="375">
        <v>9</v>
      </c>
      <c r="B10" s="379" t="s">
        <v>226</v>
      </c>
      <c r="C10" s="376" t="s">
        <v>227</v>
      </c>
      <c r="D10" s="381"/>
    </row>
    <row r="11" spans="1:4" s="374" customFormat="1" ht="20">
      <c r="A11" s="375">
        <v>10</v>
      </c>
      <c r="B11" s="379" t="s">
        <v>228</v>
      </c>
      <c r="C11" s="376" t="s">
        <v>229</v>
      </c>
      <c r="D11" s="381"/>
    </row>
    <row r="12" spans="1:4" s="374" customFormat="1" ht="20">
      <c r="A12" s="375">
        <v>11</v>
      </c>
      <c r="B12" s="378" t="s">
        <v>230</v>
      </c>
      <c r="C12" s="376" t="s">
        <v>231</v>
      </c>
      <c r="D12" s="373"/>
    </row>
    <row r="13" spans="1:4" s="374" customFormat="1" ht="20">
      <c r="A13" s="375">
        <v>12</v>
      </c>
      <c r="B13" s="378" t="s">
        <v>232</v>
      </c>
      <c r="C13" s="376" t="s">
        <v>233</v>
      </c>
      <c r="D13" s="373"/>
    </row>
    <row r="14" spans="1:4" s="374" customFormat="1" ht="20">
      <c r="A14" s="375">
        <v>13</v>
      </c>
      <c r="B14" s="378" t="s">
        <v>234</v>
      </c>
      <c r="C14" s="376" t="s">
        <v>235</v>
      </c>
      <c r="D14" s="373"/>
    </row>
    <row r="15" spans="1:4" s="374" customFormat="1" ht="44">
      <c r="A15" s="375">
        <v>14</v>
      </c>
      <c r="B15" s="378" t="s">
        <v>236</v>
      </c>
      <c r="C15" s="410" t="s">
        <v>237</v>
      </c>
      <c r="D15" s="373"/>
    </row>
    <row r="16" spans="1:4" s="374" customFormat="1" ht="20">
      <c r="A16" s="375">
        <v>15</v>
      </c>
      <c r="B16" s="378" t="s">
        <v>238</v>
      </c>
      <c r="C16" s="376" t="s">
        <v>239</v>
      </c>
      <c r="D16" s="373"/>
    </row>
    <row r="17" spans="1:4" s="374" customFormat="1" ht="20">
      <c r="A17" s="375">
        <v>16</v>
      </c>
      <c r="B17" s="378" t="s">
        <v>240</v>
      </c>
      <c r="C17" s="376" t="s">
        <v>241</v>
      </c>
      <c r="D17" s="373"/>
    </row>
    <row r="18" spans="1:4" s="374" customFormat="1" ht="20">
      <c r="A18" s="375">
        <v>17</v>
      </c>
      <c r="B18" s="378" t="s">
        <v>242</v>
      </c>
      <c r="C18" s="376" t="s">
        <v>243</v>
      </c>
      <c r="D18" s="373"/>
    </row>
    <row r="19" spans="1:4" s="374" customFormat="1" ht="20">
      <c r="A19" s="375">
        <v>18</v>
      </c>
      <c r="B19" s="378" t="s">
        <v>244</v>
      </c>
      <c r="C19" s="376" t="s">
        <v>245</v>
      </c>
      <c r="D19" s="373"/>
    </row>
    <row r="20" spans="1:4" s="374" customFormat="1">
      <c r="A20" s="375">
        <v>19</v>
      </c>
      <c r="B20" s="378" t="s">
        <v>246</v>
      </c>
      <c r="C20" s="382" t="s">
        <v>247</v>
      </c>
      <c r="D20" s="373"/>
    </row>
    <row r="21" spans="1:4" s="374" customFormat="1">
      <c r="A21" s="375">
        <v>20</v>
      </c>
      <c r="B21" s="378" t="s">
        <v>248</v>
      </c>
      <c r="C21" s="382" t="s">
        <v>249</v>
      </c>
      <c r="D21" s="373"/>
    </row>
    <row r="22" spans="1:4" s="374" customFormat="1" ht="20">
      <c r="A22" s="375">
        <v>21</v>
      </c>
      <c r="B22" s="378" t="s">
        <v>250</v>
      </c>
      <c r="C22" s="376" t="s">
        <v>251</v>
      </c>
      <c r="D22" s="373"/>
    </row>
    <row r="23" spans="1:4" s="374" customFormat="1" ht="20">
      <c r="A23" s="375">
        <v>22</v>
      </c>
      <c r="B23" s="378" t="s">
        <v>252</v>
      </c>
      <c r="C23" s="376" t="s">
        <v>253</v>
      </c>
      <c r="D23" s="373"/>
    </row>
    <row r="24" spans="1:4" s="374" customFormat="1" ht="40">
      <c r="A24" s="375">
        <v>23</v>
      </c>
      <c r="B24" s="378" t="s">
        <v>254</v>
      </c>
      <c r="C24" s="376" t="s">
        <v>255</v>
      </c>
      <c r="D24" s="373"/>
    </row>
    <row r="25" spans="1:4" s="374" customFormat="1" ht="20">
      <c r="A25" s="375">
        <v>24</v>
      </c>
      <c r="B25" s="378" t="s">
        <v>256</v>
      </c>
      <c r="C25" s="376" t="s">
        <v>257</v>
      </c>
      <c r="D25" s="373"/>
    </row>
    <row r="26" spans="1:4" s="374" customFormat="1" ht="20">
      <c r="A26" s="375">
        <v>25</v>
      </c>
      <c r="B26" s="378" t="s">
        <v>258</v>
      </c>
      <c r="C26" s="376" t="s">
        <v>259</v>
      </c>
      <c r="D26" s="373"/>
    </row>
    <row r="27" spans="1:4" s="374" customFormat="1" ht="20">
      <c r="A27" s="375">
        <v>26</v>
      </c>
      <c r="B27" s="378" t="s">
        <v>260</v>
      </c>
      <c r="C27" s="376" t="s">
        <v>261</v>
      </c>
      <c r="D27" s="373"/>
    </row>
    <row r="28" spans="1:4" s="374" customFormat="1">
      <c r="A28" s="375">
        <v>27</v>
      </c>
      <c r="B28" s="383" t="s">
        <v>262</v>
      </c>
      <c r="C28" s="384" t="s">
        <v>263</v>
      </c>
    </row>
    <row r="29" spans="1:4" s="374" customFormat="1" ht="20">
      <c r="A29" s="375">
        <v>28</v>
      </c>
      <c r="B29" s="378" t="s">
        <v>264</v>
      </c>
      <c r="C29" s="376" t="s">
        <v>265</v>
      </c>
      <c r="D29" s="373"/>
    </row>
    <row r="30" spans="1:4" s="374" customFormat="1" ht="20">
      <c r="A30" s="375">
        <v>29</v>
      </c>
      <c r="B30" s="378" t="s">
        <v>266</v>
      </c>
      <c r="C30" s="376" t="s">
        <v>267</v>
      </c>
      <c r="D30" s="373"/>
    </row>
    <row r="31" spans="1:4" s="374" customFormat="1" ht="20">
      <c r="A31" s="375">
        <v>30</v>
      </c>
      <c r="B31" s="378" t="s">
        <v>268</v>
      </c>
      <c r="C31" s="376" t="s">
        <v>269</v>
      </c>
      <c r="D31" s="373"/>
    </row>
    <row r="32" spans="1:4" s="374" customFormat="1" ht="40">
      <c r="A32" s="375">
        <v>31</v>
      </c>
      <c r="B32" s="378" t="s">
        <v>270</v>
      </c>
      <c r="C32" s="376" t="s">
        <v>271</v>
      </c>
      <c r="D32" s="373"/>
    </row>
    <row r="33" s="374" customFormat="1"/>
    <row r="72" spans="4:4" ht="73.5" customHeight="1">
      <c r="D72" s="385"/>
    </row>
  </sheetData>
  <protectedRanges>
    <protectedRange sqref="D72" name="Диапазон3"/>
  </protectedRanges>
  <sortState xmlns:xlrd2="http://schemas.microsoft.com/office/spreadsheetml/2017/richdata2" ref="B2:D32">
    <sortCondition ref="C2:C32"/>
  </sortState>
  <hyperlinks>
    <hyperlink ref="C2" location="'1_Госстройнадзор'!A1" display="Госстройнадзор" xr:uid="{00000000-0004-0000-0200-000000000000}"/>
    <hyperlink ref="C3" location="'2_Гостехнадзор'!A1" display="Гостехнадзор" xr:uid="{00000000-0004-0000-0200-000001000000}"/>
    <hyperlink ref="C4" location="'3_ГЖИ'!A1" display="Государственная жилищная инспекция" xr:uid="{00000000-0004-0000-0200-000002000000}"/>
    <hyperlink ref="C5" location="'4_МВП'!A1" display="Министерство внутренней политики" xr:uid="{00000000-0004-0000-0200-000003000000}"/>
    <hyperlink ref="C6" location="'5_МЖКХ'!A1" display="Министерство жилищно-коммунального хозяйства" xr:uid="{00000000-0004-0000-0200-000004000000}"/>
    <hyperlink ref="C7" location="'6_МинЗдрав'!A1" display="Министерство здравоохранения" xr:uid="{00000000-0004-0000-0200-000005000000}"/>
    <hyperlink ref="C8" location="'7_МИЗО'!A1" display="Министерство имущественных и земельных отношений" xr:uid="{00000000-0004-0000-0200-000006000000}"/>
    <hyperlink ref="C9" location="'8_МИП'!A1" display="Министерство информационной политики" xr:uid="{00000000-0004-0000-0200-000007000000}"/>
    <hyperlink ref="C10" location="'9_МинКульт'!A1" display="Министерство культуры" xr:uid="{00000000-0004-0000-0200-000008000000}"/>
    <hyperlink ref="C11" location="'10_МЛХ'!A1" display="Министерство лесного хозяйства" xr:uid="{00000000-0004-0000-0200-000009000000}"/>
    <hyperlink ref="C12" location="'11_ММП'!A1" display="Министерство молодежной политики" xr:uid="{00000000-0004-0000-0200-00000A000000}"/>
    <hyperlink ref="C13" location="'12 Минобр'!A1" display="Министерство образования" xr:uid="{00000000-0004-0000-0200-00000B000000}"/>
    <hyperlink ref="C14" location="'13_МПРиЭ'!A1" display="Министерство природных ресурсов и экологии" xr:uid="{00000000-0004-0000-0200-00000C000000}"/>
    <hyperlink ref="C15" location="'14_МПИиН'!A1" display="Министерство промышленности, инвестиций и науки" xr:uid="{00000000-0004-0000-0200-00000D000000}"/>
    <hyperlink ref="C16" location="'15_МРБ'!A1" display="Министерство региональной безопасности" xr:uid="{00000000-0004-0000-0200-00000E000000}"/>
    <hyperlink ref="C17" location="'16_МСХ '!A1" display="Министерство сельского хозяйства" xr:uid="{00000000-0004-0000-0200-00000F000000}"/>
    <hyperlink ref="C18" location="'17_МСП'!A1" display="Министерство социальной политики" xr:uid="{00000000-0004-0000-0200-000010000000}"/>
    <hyperlink ref="C19" location="'18_МинСтрой'!A1" display="Министерство строительства и архитектуры" xr:uid="{00000000-0004-0000-0200-000011000000}"/>
    <hyperlink ref="C20" location="'19_МТиЦП'!A1" display="Министерство торговли и ценовой политики" xr:uid="{00000000-0004-0000-0200-000012000000}"/>
    <hyperlink ref="C21" location="'20_МинТранс'!A1" display="Министерство транспорта и дорожного хозяйства" xr:uid="{00000000-0004-0000-0200-000013000000}"/>
    <hyperlink ref="C22" location="'21_МФКС'!A1" display="Министерство физической культуры и спорта" xr:uid="{00000000-0004-0000-0200-000014000000}"/>
    <hyperlink ref="C23" location="'22_МинФин'!A1" display="Министерство финансов" xr:uid="{00000000-0004-0000-0200-000015000000}"/>
    <hyperlink ref="C24" location="'23_МинЦифры'!A1" display="Министерство цифрового развития и искусственного интеллекта" xr:uid="{00000000-0004-0000-0200-000016000000}"/>
    <hyperlink ref="C25" location="'24_МЭР'!A1" display="Министерство экономического развития" xr:uid="{00000000-0004-0000-0200-000017000000}"/>
    <hyperlink ref="C26" location="'25_МинЭнерго'!A1" display="Министерство энергетики и тарифов " xr:uid="{00000000-0004-0000-0200-000018000000}"/>
    <hyperlink ref="C27" location="'26_УпрВет'!A1" display="Управление ветеринарии" xr:uid="{00000000-0004-0000-0200-000019000000}"/>
    <hyperlink ref="C28" location="'27_УГСКР'!A1" display="Управление гос. службой и кадровой работой" xr:uid="{00000000-0004-0000-0200-00001A000000}"/>
    <hyperlink ref="C29" location="'28_УправДелами'!A1" display="Управление делами" xr:uid="{00000000-0004-0000-0200-00001B000000}"/>
    <hyperlink ref="C30" location="'29_УпрЗАГС'!A1" display="Управление ЗАГС и архивов" xr:uid="{00000000-0004-0000-0200-00001C000000}"/>
    <hyperlink ref="C31" location="'30_УпрООКН'!A1" display="Управление по охране объектов культурного наследия" xr:uid="{00000000-0004-0000-0200-00001D000000}"/>
    <hyperlink ref="C32" location="'31_ОхотНадзор'!A1" display="Управление по охране, использованию объектов животного мира и водных биологических ресурсов" xr:uid="{00000000-0004-0000-0200-00001E000000}"/>
  </hyperlink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67C8C-51D9-494E-A904-F6197771026F}">
  <sheetPr codeName="Лист13">
    <tabColor rgb="FFE1FFE1"/>
    <outlinePr summaryBelow="0" summaryRight="0"/>
  </sheetPr>
  <dimension ref="A1:EA718"/>
  <sheetViews>
    <sheetView showGridLines="0" zoomScale="75" zoomScaleNormal="60" workbookViewId="0">
      <pane ySplit="8" topLeftCell="A71" activePane="bottomLeft" state="frozen"/>
      <selection activeCell="D10" sqref="D10"/>
      <selection pane="bottomLeft" activeCell="A70" sqref="A70:XFD70"/>
    </sheetView>
  </sheetViews>
  <sheetFormatPr baseColWidth="10" defaultColWidth="8.5" defaultRowHeight="16" outlineLevelRow="1"/>
  <cols>
    <col min="1" max="2" width="18.5" style="79" customWidth="1"/>
    <col min="3" max="3" width="18.5" style="96" customWidth="1"/>
    <col min="4" max="4" width="50.5" style="79" customWidth="1"/>
    <col min="5" max="5" width="30.5" style="79" customWidth="1"/>
    <col min="6" max="6" width="18.5" style="79" customWidth="1"/>
    <col min="7" max="8" width="18.83203125" style="79" customWidth="1"/>
    <col min="9" max="9" width="18.5" style="79" customWidth="1"/>
    <col min="10" max="10" width="18.83203125" style="97" customWidth="1"/>
    <col min="11" max="12" width="18.5" style="97" customWidth="1"/>
    <col min="13" max="13" width="18.5" style="79" customWidth="1"/>
    <col min="14" max="14" width="24.83203125" style="79" customWidth="1"/>
    <col min="15" max="17" width="18.5" style="79" customWidth="1"/>
    <col min="18" max="18" width="22.5" style="79" customWidth="1"/>
    <col min="19" max="19" width="22.83203125" style="79" customWidth="1"/>
    <col min="20" max="16384" width="8.5" style="79"/>
  </cols>
  <sheetData>
    <row r="1" spans="1:131" s="78" customFormat="1" ht="19.5" customHeight="1">
      <c r="A1" s="75" t="s">
        <v>272</v>
      </c>
      <c r="B1" s="74"/>
      <c r="C1" s="74"/>
      <c r="D1" s="351" t="s">
        <v>317</v>
      </c>
      <c r="E1" s="79"/>
      <c r="F1" s="79"/>
      <c r="G1" s="79"/>
      <c r="H1" s="79"/>
      <c r="I1" s="79"/>
      <c r="J1" s="79"/>
      <c r="K1" s="81"/>
      <c r="L1" s="81"/>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79"/>
      <c r="BJ1" s="79"/>
      <c r="BK1" s="79"/>
      <c r="BL1" s="79"/>
      <c r="BM1" s="79"/>
      <c r="BN1" s="79"/>
      <c r="BO1" s="79"/>
      <c r="BP1" s="79"/>
      <c r="BQ1" s="79"/>
      <c r="BR1" s="79"/>
      <c r="BS1" s="79"/>
      <c r="BT1" s="79"/>
      <c r="BU1" s="79"/>
      <c r="BV1" s="79"/>
      <c r="BW1" s="79"/>
      <c r="BX1" s="79"/>
      <c r="BY1" s="79"/>
      <c r="BZ1" s="79"/>
      <c r="CA1" s="79"/>
      <c r="CB1" s="79"/>
      <c r="CC1" s="79"/>
      <c r="CD1" s="79"/>
      <c r="CE1" s="79"/>
      <c r="CF1" s="79"/>
      <c r="CG1" s="79"/>
      <c r="CH1" s="79"/>
      <c r="CI1" s="79"/>
      <c r="CJ1" s="79"/>
      <c r="CK1" s="79"/>
      <c r="CL1" s="79"/>
      <c r="CM1" s="79"/>
      <c r="CN1" s="79"/>
      <c r="CO1" s="79"/>
      <c r="CP1" s="79"/>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row>
    <row r="2" spans="1:131" s="78" customFormat="1" ht="15" customHeight="1">
      <c r="A2" s="76" t="s">
        <v>273</v>
      </c>
      <c r="B2" s="74"/>
      <c r="C2" s="77"/>
      <c r="D2" s="80" t="s">
        <v>356</v>
      </c>
      <c r="E2" s="80"/>
      <c r="F2" s="79"/>
      <c r="G2" s="79"/>
      <c r="H2" s="79"/>
      <c r="I2" s="79"/>
      <c r="J2" s="79"/>
      <c r="K2" s="79"/>
      <c r="L2" s="81"/>
      <c r="M2" s="79"/>
      <c r="N2" s="79"/>
      <c r="O2" s="79"/>
      <c r="P2" s="79"/>
      <c r="Q2" s="79"/>
      <c r="R2" s="79"/>
      <c r="S2" s="79"/>
      <c r="T2" s="79"/>
      <c r="U2" s="79"/>
      <c r="V2" s="79"/>
      <c r="W2" s="79"/>
      <c r="X2" s="79"/>
      <c r="Y2" s="79"/>
      <c r="Z2" s="79"/>
      <c r="AA2" s="79"/>
      <c r="AB2" s="79"/>
      <c r="AC2" s="79"/>
      <c r="AD2" s="79"/>
      <c r="AE2" s="79"/>
      <c r="AF2" s="79"/>
      <c r="AG2" s="79"/>
      <c r="AH2" s="79"/>
      <c r="AI2" s="79"/>
      <c r="AJ2" s="79"/>
      <c r="AK2" s="79"/>
      <c r="AL2" s="79"/>
      <c r="AM2" s="79"/>
      <c r="AN2" s="79"/>
      <c r="AO2" s="79"/>
      <c r="AP2" s="79"/>
      <c r="AQ2" s="79"/>
      <c r="AR2" s="79"/>
      <c r="AS2" s="79"/>
      <c r="AT2" s="79"/>
      <c r="AU2" s="79"/>
      <c r="AV2" s="79"/>
      <c r="AW2" s="79"/>
      <c r="AX2" s="79"/>
      <c r="AY2" s="79"/>
      <c r="AZ2" s="79"/>
      <c r="BA2" s="79"/>
      <c r="BB2" s="79"/>
      <c r="BC2" s="79"/>
      <c r="BD2" s="79"/>
      <c r="BE2" s="79"/>
      <c r="BF2" s="79"/>
      <c r="BG2" s="79"/>
      <c r="BH2" s="79"/>
      <c r="BI2" s="79"/>
      <c r="BJ2" s="79"/>
      <c r="BK2" s="79"/>
      <c r="BL2" s="79"/>
      <c r="BM2" s="79"/>
      <c r="BN2" s="79"/>
      <c r="BO2" s="79"/>
      <c r="BP2" s="79"/>
      <c r="BQ2" s="79"/>
      <c r="BR2" s="79"/>
      <c r="BS2" s="79"/>
      <c r="BT2" s="79"/>
      <c r="BU2" s="79"/>
      <c r="BV2" s="79"/>
      <c r="BW2" s="79"/>
      <c r="BX2" s="79"/>
      <c r="BY2" s="79"/>
      <c r="BZ2" s="79"/>
      <c r="CA2" s="79"/>
      <c r="CB2" s="79"/>
      <c r="CC2" s="79"/>
      <c r="CD2" s="79"/>
      <c r="CE2" s="79"/>
      <c r="CF2" s="79"/>
      <c r="CG2" s="79"/>
      <c r="CH2" s="79"/>
      <c r="CI2" s="79"/>
      <c r="CJ2" s="79"/>
      <c r="CK2" s="79"/>
      <c r="CL2" s="79"/>
      <c r="CM2" s="79"/>
      <c r="CN2" s="79"/>
      <c r="CO2" s="79"/>
      <c r="CP2" s="79"/>
      <c r="CQ2" s="79"/>
      <c r="CR2" s="79"/>
      <c r="CS2" s="79"/>
      <c r="CT2" s="79"/>
      <c r="CU2" s="79"/>
      <c r="CV2" s="79"/>
      <c r="CW2" s="79"/>
      <c r="CX2" s="79"/>
      <c r="CY2" s="79"/>
      <c r="CZ2" s="79"/>
      <c r="DA2" s="79"/>
      <c r="DB2" s="79"/>
      <c r="DC2" s="79"/>
      <c r="DD2" s="79"/>
      <c r="DE2" s="79"/>
      <c r="DF2" s="79"/>
      <c r="DG2" s="79"/>
      <c r="DH2" s="79"/>
      <c r="DI2" s="79"/>
      <c r="DJ2" s="79"/>
      <c r="DK2" s="79"/>
      <c r="DL2" s="79"/>
      <c r="DM2" s="79"/>
      <c r="DN2" s="79"/>
      <c r="DO2" s="79"/>
      <c r="DP2" s="79"/>
      <c r="DQ2" s="79"/>
      <c r="DR2" s="79"/>
      <c r="DS2" s="79"/>
      <c r="DT2" s="79"/>
      <c r="DU2" s="79"/>
      <c r="DV2" s="79"/>
      <c r="DW2" s="79"/>
      <c r="DX2" s="79"/>
      <c r="DY2" s="79"/>
      <c r="DZ2" s="79"/>
      <c r="EA2" s="79"/>
    </row>
    <row r="3" spans="1:131" s="78" customFormat="1" ht="15" customHeight="1">
      <c r="A3" s="76" t="s">
        <v>274</v>
      </c>
      <c r="B3" s="74"/>
      <c r="C3" s="74"/>
      <c r="D3" s="80"/>
      <c r="E3" s="80"/>
      <c r="F3" s="79"/>
      <c r="G3" s="79"/>
      <c r="H3" s="79"/>
      <c r="I3" s="79"/>
      <c r="J3" s="79"/>
      <c r="K3" s="79"/>
      <c r="L3" s="79"/>
      <c r="M3" s="79"/>
      <c r="N3" s="79"/>
      <c r="O3" s="79"/>
      <c r="P3" s="79"/>
      <c r="Q3" s="79"/>
      <c r="R3" s="79"/>
      <c r="S3" s="79"/>
      <c r="T3" s="79"/>
      <c r="U3" s="79"/>
      <c r="V3" s="79"/>
      <c r="W3" s="79"/>
      <c r="X3" s="79"/>
      <c r="Y3" s="79"/>
      <c r="Z3" s="79"/>
      <c r="AA3" s="79"/>
      <c r="AB3" s="79"/>
      <c r="AC3" s="79"/>
      <c r="AD3" s="79"/>
      <c r="AE3" s="79"/>
      <c r="AF3" s="79"/>
      <c r="AG3" s="79"/>
      <c r="AH3" s="79"/>
      <c r="AI3" s="79"/>
      <c r="AJ3" s="79"/>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79"/>
      <c r="BS3" s="79"/>
      <c r="BT3" s="79"/>
      <c r="BU3" s="79"/>
      <c r="BV3" s="79"/>
      <c r="BW3" s="79"/>
      <c r="BX3" s="79"/>
      <c r="BY3" s="79"/>
      <c r="BZ3" s="79"/>
      <c r="CA3" s="79"/>
      <c r="CB3" s="79"/>
      <c r="CC3" s="79"/>
      <c r="CD3" s="79"/>
      <c r="CE3" s="79"/>
      <c r="CF3" s="79"/>
      <c r="CG3" s="79"/>
      <c r="CH3" s="79"/>
      <c r="CI3" s="79"/>
      <c r="CJ3" s="79"/>
      <c r="CK3" s="79"/>
      <c r="CL3" s="79"/>
      <c r="CM3" s="79"/>
      <c r="CN3" s="79"/>
      <c r="CO3" s="79"/>
      <c r="CP3" s="79"/>
      <c r="CQ3" s="79"/>
      <c r="CR3" s="79"/>
      <c r="CS3" s="79"/>
      <c r="CT3" s="79"/>
      <c r="CU3" s="79"/>
      <c r="CV3" s="79"/>
      <c r="CW3" s="79"/>
      <c r="CX3" s="79"/>
      <c r="CY3" s="79"/>
      <c r="CZ3" s="79"/>
      <c r="DA3" s="79"/>
      <c r="DB3" s="79"/>
      <c r="DC3" s="79"/>
      <c r="DD3" s="79"/>
      <c r="DE3" s="79"/>
      <c r="DF3" s="79"/>
      <c r="DG3" s="79"/>
      <c r="DH3" s="79"/>
      <c r="DI3" s="79"/>
      <c r="DJ3" s="79"/>
      <c r="DK3" s="79"/>
      <c r="DL3" s="79"/>
      <c r="DM3" s="79"/>
      <c r="DN3" s="79"/>
      <c r="DO3" s="79"/>
      <c r="DP3" s="79"/>
      <c r="DQ3" s="79"/>
      <c r="DR3" s="79"/>
      <c r="DS3" s="79"/>
      <c r="DT3" s="79"/>
      <c r="DU3" s="79"/>
      <c r="DV3" s="79"/>
      <c r="DW3" s="79"/>
      <c r="DX3" s="79"/>
      <c r="DY3" s="79"/>
      <c r="DZ3" s="79"/>
      <c r="EA3" s="79"/>
    </row>
    <row r="4" spans="1:131" s="78" customFormat="1" ht="15" customHeight="1">
      <c r="A4" s="76" t="s">
        <v>275</v>
      </c>
      <c r="B4" s="74"/>
      <c r="C4" s="74"/>
      <c r="D4" s="98">
        <v>45854</v>
      </c>
      <c r="E4" s="80"/>
      <c r="F4" s="79"/>
      <c r="G4" s="79"/>
      <c r="H4" s="79"/>
      <c r="I4" s="79"/>
      <c r="J4" s="79"/>
      <c r="K4" s="81"/>
      <c r="L4" s="81"/>
      <c r="M4" s="79"/>
      <c r="N4" s="79"/>
      <c r="O4" s="79"/>
      <c r="P4" s="79"/>
      <c r="Q4" s="79"/>
      <c r="R4" s="79"/>
      <c r="S4" s="79"/>
      <c r="T4" s="79"/>
      <c r="U4" s="79"/>
      <c r="V4" s="79"/>
      <c r="W4" s="79"/>
      <c r="X4" s="79"/>
      <c r="Y4" s="79"/>
      <c r="Z4" s="79"/>
      <c r="AA4" s="79"/>
      <c r="AB4" s="79"/>
      <c r="AC4" s="79"/>
      <c r="AD4" s="79"/>
      <c r="AE4" s="79"/>
      <c r="AF4" s="79"/>
      <c r="AG4" s="79"/>
      <c r="AH4" s="79"/>
      <c r="AI4" s="79"/>
      <c r="AJ4" s="79"/>
      <c r="AK4" s="79"/>
      <c r="AL4" s="79"/>
      <c r="AM4" s="79"/>
      <c r="AN4" s="79"/>
      <c r="AO4" s="79"/>
      <c r="AP4" s="79"/>
      <c r="AQ4" s="79"/>
      <c r="AR4" s="79"/>
      <c r="AS4" s="79"/>
      <c r="AT4" s="79"/>
      <c r="AU4" s="79"/>
      <c r="AV4" s="79"/>
      <c r="AW4" s="79"/>
      <c r="AX4" s="79"/>
      <c r="AY4" s="79"/>
      <c r="AZ4" s="79"/>
      <c r="BA4" s="79"/>
      <c r="BB4" s="79"/>
      <c r="BC4" s="79"/>
      <c r="BD4" s="79"/>
      <c r="BE4" s="79"/>
      <c r="BF4" s="79"/>
      <c r="BG4" s="79"/>
      <c r="BH4" s="79"/>
      <c r="BI4" s="79"/>
      <c r="BJ4" s="79"/>
      <c r="BK4" s="79"/>
      <c r="BL4" s="79"/>
      <c r="BM4" s="79"/>
      <c r="BN4" s="79"/>
      <c r="BO4" s="79"/>
      <c r="BP4" s="79"/>
      <c r="BQ4" s="79"/>
      <c r="BR4" s="79"/>
      <c r="BS4" s="79"/>
      <c r="BT4" s="79"/>
      <c r="BU4" s="79"/>
      <c r="BV4" s="79"/>
      <c r="BW4" s="79"/>
      <c r="BX4" s="79"/>
      <c r="BY4" s="79"/>
      <c r="BZ4" s="79"/>
      <c r="CA4" s="79"/>
      <c r="CB4" s="79"/>
      <c r="CC4" s="79"/>
      <c r="CD4" s="79"/>
      <c r="CE4" s="79"/>
      <c r="CF4" s="79"/>
      <c r="CG4" s="79"/>
      <c r="CH4" s="79"/>
      <c r="CI4" s="79"/>
      <c r="CJ4" s="79"/>
      <c r="CK4" s="79"/>
      <c r="CL4" s="79"/>
      <c r="CM4" s="79"/>
      <c r="CN4" s="79"/>
      <c r="CO4" s="79"/>
      <c r="CP4" s="79"/>
      <c r="CQ4" s="79"/>
      <c r="CR4" s="79"/>
      <c r="CS4" s="79"/>
      <c r="CT4" s="79"/>
      <c r="CU4" s="79"/>
      <c r="CV4" s="79"/>
      <c r="CW4" s="79"/>
      <c r="CX4" s="79"/>
      <c r="CY4" s="79"/>
      <c r="CZ4" s="79"/>
      <c r="DA4" s="79"/>
      <c r="DB4" s="79"/>
      <c r="DC4" s="79"/>
      <c r="DD4" s="79"/>
      <c r="DE4" s="79"/>
      <c r="DF4" s="79"/>
      <c r="DG4" s="79"/>
      <c r="DH4" s="79"/>
      <c r="DI4" s="79"/>
      <c r="DJ4" s="79"/>
      <c r="DK4" s="79"/>
      <c r="DL4" s="79"/>
      <c r="DM4" s="79"/>
      <c r="DN4" s="79"/>
      <c r="DO4" s="79"/>
      <c r="DP4" s="79"/>
      <c r="DQ4" s="79"/>
      <c r="DR4" s="79"/>
      <c r="DS4" s="79"/>
      <c r="DT4" s="79"/>
      <c r="DU4" s="79"/>
      <c r="DV4" s="79"/>
      <c r="DW4" s="79"/>
      <c r="DX4" s="79"/>
      <c r="DY4" s="79"/>
      <c r="DZ4" s="79"/>
      <c r="EA4" s="79"/>
    </row>
    <row r="5" spans="1:131" s="78" customFormat="1">
      <c r="A5" s="79"/>
      <c r="B5" s="79"/>
      <c r="C5" s="96"/>
      <c r="D5" s="79"/>
      <c r="E5" s="79"/>
      <c r="F5" s="79"/>
      <c r="G5" s="79"/>
      <c r="H5" s="79"/>
      <c r="I5" s="79"/>
      <c r="J5" s="79"/>
      <c r="K5" s="79"/>
      <c r="L5" s="79"/>
      <c r="M5" s="79"/>
      <c r="N5" s="79"/>
      <c r="O5" s="79"/>
      <c r="P5" s="79"/>
      <c r="Q5" s="79"/>
      <c r="R5" s="79"/>
      <c r="S5" s="79"/>
      <c r="T5" s="79"/>
      <c r="U5" s="79"/>
      <c r="V5" s="79"/>
      <c r="W5" s="79"/>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79"/>
      <c r="BO5" s="79"/>
      <c r="BP5" s="79"/>
      <c r="BQ5" s="79"/>
      <c r="BR5" s="79"/>
      <c r="BS5" s="79"/>
      <c r="BT5" s="79"/>
      <c r="BU5" s="79"/>
      <c r="BV5" s="79"/>
      <c r="BW5" s="79"/>
      <c r="BX5" s="79"/>
      <c r="BY5" s="79"/>
      <c r="BZ5" s="79"/>
      <c r="CA5" s="79"/>
      <c r="CB5" s="79"/>
      <c r="CC5" s="79"/>
      <c r="CD5" s="79"/>
      <c r="CE5" s="79"/>
      <c r="CF5" s="79"/>
      <c r="CG5" s="79"/>
      <c r="CH5" s="79"/>
      <c r="CI5" s="79"/>
      <c r="CJ5" s="79"/>
      <c r="CK5" s="79"/>
      <c r="CL5" s="79"/>
      <c r="CM5" s="79"/>
      <c r="CN5" s="79"/>
      <c r="CO5" s="79"/>
      <c r="CP5" s="79"/>
      <c r="CQ5" s="79"/>
      <c r="CR5" s="79"/>
      <c r="CS5" s="79"/>
      <c r="CT5" s="79"/>
      <c r="CU5" s="79"/>
      <c r="CV5" s="79"/>
      <c r="CW5" s="79"/>
      <c r="CX5" s="79"/>
      <c r="CY5" s="79"/>
      <c r="CZ5" s="79"/>
      <c r="DA5" s="79"/>
      <c r="DB5" s="79"/>
      <c r="DC5" s="79"/>
      <c r="DD5" s="79"/>
      <c r="DE5" s="79"/>
      <c r="DF5" s="79"/>
      <c r="DG5" s="79"/>
      <c r="DH5" s="79"/>
      <c r="DI5" s="79"/>
      <c r="DJ5" s="79"/>
      <c r="DK5" s="79"/>
      <c r="DL5" s="79"/>
      <c r="DM5" s="79"/>
      <c r="DN5" s="79"/>
      <c r="DO5" s="79"/>
      <c r="DP5" s="79"/>
      <c r="DQ5" s="79"/>
      <c r="DR5" s="79"/>
      <c r="DS5" s="79"/>
      <c r="DT5" s="79"/>
      <c r="DU5" s="79"/>
      <c r="DV5" s="79"/>
      <c r="DW5" s="79"/>
      <c r="DX5" s="79"/>
      <c r="DY5" s="79"/>
      <c r="DZ5" s="79"/>
      <c r="EA5" s="79"/>
    </row>
    <row r="6" spans="1:131" ht="15" customHeight="1">
      <c r="A6" s="427" t="s">
        <v>276</v>
      </c>
      <c r="B6" s="427"/>
      <c r="C6" s="427"/>
      <c r="D6" s="96"/>
      <c r="J6" s="79"/>
      <c r="K6" s="79"/>
      <c r="L6" s="79"/>
    </row>
    <row r="7" spans="1:131" ht="12.75" customHeight="1">
      <c r="J7" s="79"/>
      <c r="K7" s="79"/>
      <c r="L7" s="79"/>
    </row>
    <row r="8" spans="1:131" ht="81.75" customHeight="1">
      <c r="A8" s="23" t="s">
        <v>277</v>
      </c>
      <c r="B8" s="23" t="s">
        <v>278</v>
      </c>
      <c r="C8" s="23" t="s">
        <v>279</v>
      </c>
      <c r="D8" s="23" t="s">
        <v>280</v>
      </c>
      <c r="E8" s="23" t="s">
        <v>281</v>
      </c>
      <c r="F8" s="23" t="s">
        <v>282</v>
      </c>
      <c r="G8" s="23" t="s">
        <v>283</v>
      </c>
      <c r="H8" s="23" t="s">
        <v>284</v>
      </c>
      <c r="I8" s="23" t="s">
        <v>285</v>
      </c>
      <c r="J8" s="23" t="s">
        <v>286</v>
      </c>
      <c r="K8" s="23" t="s">
        <v>287</v>
      </c>
      <c r="L8" s="23" t="s">
        <v>288</v>
      </c>
      <c r="M8" s="23" t="s">
        <v>289</v>
      </c>
      <c r="N8" s="23" t="s">
        <v>290</v>
      </c>
      <c r="O8" s="23" t="s">
        <v>291</v>
      </c>
      <c r="P8" s="23" t="s">
        <v>292</v>
      </c>
      <c r="Q8" s="23" t="s">
        <v>293</v>
      </c>
      <c r="R8" s="23" t="s">
        <v>294</v>
      </c>
      <c r="S8" s="23" t="s">
        <v>295</v>
      </c>
    </row>
    <row r="9" spans="1:131" s="82" customFormat="1" ht="81" customHeight="1">
      <c r="A9" s="99" t="s">
        <v>357</v>
      </c>
      <c r="B9" s="99" t="s">
        <v>9</v>
      </c>
      <c r="C9" s="100" t="s">
        <v>10</v>
      </c>
      <c r="D9" s="101" t="s">
        <v>358</v>
      </c>
      <c r="E9" s="101" t="s">
        <v>359</v>
      </c>
      <c r="F9" s="395"/>
      <c r="G9" s="100" t="s">
        <v>360</v>
      </c>
      <c r="H9" s="100" t="s">
        <v>361</v>
      </c>
      <c r="I9" s="100" t="s">
        <v>362</v>
      </c>
      <c r="J9" s="125" t="s">
        <v>312</v>
      </c>
      <c r="K9" s="126">
        <f t="shared" ref="K9:L15" si="0">K10+K11+K12+K13+K14+K15+K16+K17+K18+K19+K20+K21+K22</f>
        <v>15028</v>
      </c>
      <c r="L9" s="126">
        <f t="shared" si="0"/>
        <v>170276</v>
      </c>
      <c r="M9" s="99" t="s">
        <v>298</v>
      </c>
      <c r="N9" s="100" t="s">
        <v>363</v>
      </c>
      <c r="O9" s="99" t="s">
        <v>299</v>
      </c>
      <c r="P9" s="99" t="s">
        <v>300</v>
      </c>
      <c r="Q9" s="99" t="s">
        <v>305</v>
      </c>
      <c r="R9" s="99" t="s">
        <v>302</v>
      </c>
      <c r="S9" s="99"/>
    </row>
    <row r="10" spans="1:131" ht="187" outlineLevel="1">
      <c r="A10" s="102" t="s">
        <v>357</v>
      </c>
      <c r="B10" s="102" t="s">
        <v>9</v>
      </c>
      <c r="C10" s="103" t="s">
        <v>10</v>
      </c>
      <c r="D10" s="103" t="s">
        <v>365</v>
      </c>
      <c r="E10" s="103" t="s">
        <v>359</v>
      </c>
      <c r="F10" s="397" t="s">
        <v>303</v>
      </c>
      <c r="G10" s="103" t="s">
        <v>364</v>
      </c>
      <c r="H10" s="103" t="s">
        <v>366</v>
      </c>
      <c r="I10" s="103" t="s">
        <v>367</v>
      </c>
      <c r="J10" s="127" t="s">
        <v>312</v>
      </c>
      <c r="K10" s="126">
        <f t="shared" si="0"/>
        <v>7515</v>
      </c>
      <c r="L10" s="126">
        <f t="shared" si="0"/>
        <v>85164</v>
      </c>
      <c r="M10" s="102" t="s">
        <v>298</v>
      </c>
      <c r="N10" s="103" t="s">
        <v>363</v>
      </c>
      <c r="O10" s="102" t="s">
        <v>299</v>
      </c>
      <c r="P10" s="102" t="s">
        <v>300</v>
      </c>
      <c r="Q10" s="102" t="s">
        <v>305</v>
      </c>
      <c r="R10" s="102" t="s">
        <v>302</v>
      </c>
      <c r="S10" s="102"/>
    </row>
    <row r="11" spans="1:131" ht="204" customHeight="1" outlineLevel="1">
      <c r="A11" s="102" t="s">
        <v>357</v>
      </c>
      <c r="B11" s="102" t="s">
        <v>9</v>
      </c>
      <c r="C11" s="103" t="s">
        <v>10</v>
      </c>
      <c r="D11" s="103" t="s">
        <v>368</v>
      </c>
      <c r="E11" s="103" t="s">
        <v>359</v>
      </c>
      <c r="F11" s="393" t="s">
        <v>296</v>
      </c>
      <c r="G11" s="103" t="s">
        <v>364</v>
      </c>
      <c r="H11" s="103" t="s">
        <v>369</v>
      </c>
      <c r="I11" s="103" t="s">
        <v>370</v>
      </c>
      <c r="J11" s="127" t="s">
        <v>312</v>
      </c>
      <c r="K11" s="126">
        <f t="shared" si="0"/>
        <v>3758.5</v>
      </c>
      <c r="L11" s="126">
        <f t="shared" si="0"/>
        <v>42588</v>
      </c>
      <c r="M11" s="102" t="s">
        <v>298</v>
      </c>
      <c r="N11" s="103" t="s">
        <v>363</v>
      </c>
      <c r="O11" s="102" t="s">
        <v>299</v>
      </c>
      <c r="P11" s="102" t="s">
        <v>300</v>
      </c>
      <c r="Q11" s="102" t="s">
        <v>305</v>
      </c>
      <c r="R11" s="102" t="s">
        <v>302</v>
      </c>
      <c r="S11" s="102"/>
    </row>
    <row r="12" spans="1:131" ht="119" outlineLevel="1">
      <c r="A12" s="99" t="s">
        <v>357</v>
      </c>
      <c r="B12" s="102" t="s">
        <v>9</v>
      </c>
      <c r="C12" s="103" t="s">
        <v>10</v>
      </c>
      <c r="D12" s="104" t="s">
        <v>371</v>
      </c>
      <c r="E12" s="103" t="s">
        <v>372</v>
      </c>
      <c r="F12" s="103" t="s">
        <v>303</v>
      </c>
      <c r="G12" s="105" t="s">
        <v>347</v>
      </c>
      <c r="H12" s="103" t="s">
        <v>373</v>
      </c>
      <c r="I12" s="103" t="s">
        <v>374</v>
      </c>
      <c r="J12" s="127" t="s">
        <v>312</v>
      </c>
      <c r="K12" s="126">
        <f t="shared" si="0"/>
        <v>1879.5</v>
      </c>
      <c r="L12" s="126">
        <f t="shared" si="0"/>
        <v>21300</v>
      </c>
      <c r="M12" s="102" t="s">
        <v>298</v>
      </c>
      <c r="N12" s="103" t="s">
        <v>375</v>
      </c>
      <c r="O12" s="102" t="s">
        <v>299</v>
      </c>
      <c r="P12" s="102" t="s">
        <v>300</v>
      </c>
      <c r="Q12" s="102" t="s">
        <v>305</v>
      </c>
      <c r="R12" s="102" t="s">
        <v>302</v>
      </c>
      <c r="S12" s="102"/>
    </row>
    <row r="13" spans="1:131" ht="102" outlineLevel="1">
      <c r="A13" s="99" t="s">
        <v>357</v>
      </c>
      <c r="B13" s="102" t="s">
        <v>9</v>
      </c>
      <c r="C13" s="103" t="s">
        <v>10</v>
      </c>
      <c r="D13" s="104" t="s">
        <v>376</v>
      </c>
      <c r="E13" s="103" t="s">
        <v>377</v>
      </c>
      <c r="F13" s="103" t="s">
        <v>303</v>
      </c>
      <c r="G13" s="103" t="s">
        <v>360</v>
      </c>
      <c r="H13" s="103" t="s">
        <v>378</v>
      </c>
      <c r="I13" s="103" t="s">
        <v>379</v>
      </c>
      <c r="J13" s="127" t="s">
        <v>312</v>
      </c>
      <c r="K13" s="126">
        <f t="shared" si="0"/>
        <v>940</v>
      </c>
      <c r="L13" s="126">
        <f t="shared" si="0"/>
        <v>10652</v>
      </c>
      <c r="M13" s="102" t="s">
        <v>298</v>
      </c>
      <c r="N13" s="103" t="s">
        <v>380</v>
      </c>
      <c r="O13" s="102" t="s">
        <v>299</v>
      </c>
      <c r="P13" s="102" t="s">
        <v>304</v>
      </c>
      <c r="Q13" s="102" t="s">
        <v>301</v>
      </c>
      <c r="R13" s="102" t="s">
        <v>314</v>
      </c>
      <c r="S13" s="102" t="s">
        <v>381</v>
      </c>
    </row>
    <row r="14" spans="1:131" ht="102" outlineLevel="1">
      <c r="A14" s="99" t="s">
        <v>357</v>
      </c>
      <c r="B14" s="102" t="s">
        <v>9</v>
      </c>
      <c r="C14" s="103" t="s">
        <v>10</v>
      </c>
      <c r="D14" s="103" t="s">
        <v>382</v>
      </c>
      <c r="E14" s="103" t="s">
        <v>359</v>
      </c>
      <c r="F14" s="398" t="s">
        <v>296</v>
      </c>
      <c r="G14" s="103" t="s">
        <v>383</v>
      </c>
      <c r="H14" s="103" t="s">
        <v>384</v>
      </c>
      <c r="I14" s="103" t="s">
        <v>385</v>
      </c>
      <c r="J14" s="127" t="s">
        <v>312</v>
      </c>
      <c r="K14" s="126">
        <f t="shared" si="0"/>
        <v>471.5</v>
      </c>
      <c r="L14" s="126">
        <f t="shared" si="0"/>
        <v>5332</v>
      </c>
      <c r="M14" s="102" t="s">
        <v>298</v>
      </c>
      <c r="N14" s="103" t="s">
        <v>339</v>
      </c>
      <c r="O14" s="102" t="s">
        <v>299</v>
      </c>
      <c r="P14" s="102" t="s">
        <v>300</v>
      </c>
      <c r="Q14" s="102" t="s">
        <v>305</v>
      </c>
      <c r="R14" s="102" t="s">
        <v>302</v>
      </c>
      <c r="S14" s="99"/>
    </row>
    <row r="15" spans="1:131" s="83" customFormat="1" ht="170" outlineLevel="1">
      <c r="A15" s="106" t="s">
        <v>357</v>
      </c>
      <c r="B15" s="107" t="s">
        <v>9</v>
      </c>
      <c r="C15" s="103" t="s">
        <v>10</v>
      </c>
      <c r="D15" s="103" t="s">
        <v>386</v>
      </c>
      <c r="E15" s="104" t="s">
        <v>359</v>
      </c>
      <c r="F15" s="104" t="s">
        <v>303</v>
      </c>
      <c r="G15" s="108" t="s">
        <v>347</v>
      </c>
      <c r="H15" s="104" t="s">
        <v>387</v>
      </c>
      <c r="I15" s="104" t="s">
        <v>388</v>
      </c>
      <c r="J15" s="127" t="s">
        <v>312</v>
      </c>
      <c r="K15" s="126">
        <f t="shared" si="0"/>
        <v>236</v>
      </c>
      <c r="L15" s="126">
        <f t="shared" si="0"/>
        <v>2672</v>
      </c>
      <c r="M15" s="102" t="s">
        <v>298</v>
      </c>
      <c r="N15" s="103" t="s">
        <v>389</v>
      </c>
      <c r="O15" s="102" t="s">
        <v>299</v>
      </c>
      <c r="P15" s="102" t="s">
        <v>300</v>
      </c>
      <c r="Q15" s="102" t="s">
        <v>305</v>
      </c>
      <c r="R15" s="102" t="s">
        <v>302</v>
      </c>
      <c r="S15" s="99"/>
    </row>
    <row r="16" spans="1:131" s="82" customFormat="1" ht="96" customHeight="1">
      <c r="A16" s="99" t="s">
        <v>357</v>
      </c>
      <c r="B16" s="99" t="s">
        <v>9</v>
      </c>
      <c r="C16" s="100" t="s">
        <v>10</v>
      </c>
      <c r="D16" s="103" t="s">
        <v>390</v>
      </c>
      <c r="E16" s="101" t="s">
        <v>391</v>
      </c>
      <c r="F16" s="399" t="s">
        <v>303</v>
      </c>
      <c r="G16" s="101" t="s">
        <v>392</v>
      </c>
      <c r="H16" s="100" t="s">
        <v>361</v>
      </c>
      <c r="I16" s="101" t="s">
        <v>393</v>
      </c>
      <c r="J16" s="125" t="s">
        <v>312</v>
      </c>
      <c r="K16" s="126">
        <f>K17+K18+K19+K20+K21+K22+K23+K24+K25+K26+K27+K28+K29</f>
        <v>119.5</v>
      </c>
      <c r="L16" s="126">
        <f>L17+L18+L19+L20+L21+L22+L23+L24+L25+L26+L27+L28+L29</f>
        <v>1342</v>
      </c>
      <c r="M16" s="99" t="s">
        <v>298</v>
      </c>
      <c r="N16" s="100" t="s">
        <v>394</v>
      </c>
      <c r="O16" s="99" t="s">
        <v>299</v>
      </c>
      <c r="P16" s="99" t="s">
        <v>300</v>
      </c>
      <c r="Q16" s="99" t="s">
        <v>305</v>
      </c>
      <c r="R16" s="99" t="s">
        <v>302</v>
      </c>
      <c r="S16" s="99"/>
    </row>
    <row r="17" spans="1:19" s="83" customFormat="1" ht="102" outlineLevel="1">
      <c r="A17" s="109" t="s">
        <v>357</v>
      </c>
      <c r="B17" s="107" t="s">
        <v>9</v>
      </c>
      <c r="C17" s="103" t="s">
        <v>10</v>
      </c>
      <c r="D17" s="103" t="s">
        <v>395</v>
      </c>
      <c r="E17" s="104" t="s">
        <v>391</v>
      </c>
      <c r="F17" s="104" t="s">
        <v>303</v>
      </c>
      <c r="G17" s="104" t="s">
        <v>360</v>
      </c>
      <c r="H17" s="103" t="s">
        <v>361</v>
      </c>
      <c r="I17" s="104" t="s">
        <v>396</v>
      </c>
      <c r="J17" s="127" t="s">
        <v>312</v>
      </c>
      <c r="K17" s="128">
        <v>58</v>
      </c>
      <c r="L17" s="128">
        <v>11</v>
      </c>
      <c r="M17" s="102" t="s">
        <v>298</v>
      </c>
      <c r="N17" s="103" t="s">
        <v>397</v>
      </c>
      <c r="O17" s="102" t="s">
        <v>299</v>
      </c>
      <c r="P17" s="102" t="s">
        <v>300</v>
      </c>
      <c r="Q17" s="102" t="s">
        <v>305</v>
      </c>
      <c r="R17" s="102" t="s">
        <v>302</v>
      </c>
      <c r="S17" s="99"/>
    </row>
    <row r="18" spans="1:19" ht="153" outlineLevel="1">
      <c r="A18" s="99" t="s">
        <v>357</v>
      </c>
      <c r="B18" s="102" t="s">
        <v>9</v>
      </c>
      <c r="C18" s="103" t="s">
        <v>10</v>
      </c>
      <c r="D18" s="103" t="s">
        <v>398</v>
      </c>
      <c r="E18" s="104" t="s">
        <v>391</v>
      </c>
      <c r="F18" s="104" t="s">
        <v>303</v>
      </c>
      <c r="G18" s="104" t="s">
        <v>360</v>
      </c>
      <c r="H18" s="103" t="s">
        <v>361</v>
      </c>
      <c r="I18" s="104" t="s">
        <v>399</v>
      </c>
      <c r="J18" s="127" t="s">
        <v>312</v>
      </c>
      <c r="K18" s="128">
        <v>4</v>
      </c>
      <c r="L18" s="128">
        <v>627</v>
      </c>
      <c r="M18" s="102" t="s">
        <v>298</v>
      </c>
      <c r="N18" s="103" t="s">
        <v>400</v>
      </c>
      <c r="O18" s="102" t="s">
        <v>299</v>
      </c>
      <c r="P18" s="102" t="s">
        <v>300</v>
      </c>
      <c r="Q18" s="102" t="s">
        <v>305</v>
      </c>
      <c r="R18" s="102" t="s">
        <v>302</v>
      </c>
      <c r="S18" s="99"/>
    </row>
    <row r="19" spans="1:19" ht="68" outlineLevel="1">
      <c r="A19" s="99" t="s">
        <v>357</v>
      </c>
      <c r="B19" s="102" t="s">
        <v>9</v>
      </c>
      <c r="C19" s="103" t="s">
        <v>10</v>
      </c>
      <c r="D19" s="103" t="s">
        <v>401</v>
      </c>
      <c r="E19" s="104" t="s">
        <v>391</v>
      </c>
      <c r="F19" s="104" t="s">
        <v>303</v>
      </c>
      <c r="G19" s="104" t="s">
        <v>360</v>
      </c>
      <c r="H19" s="103" t="s">
        <v>361</v>
      </c>
      <c r="I19" s="104" t="s">
        <v>402</v>
      </c>
      <c r="J19" s="127" t="s">
        <v>312</v>
      </c>
      <c r="K19" s="128">
        <v>4</v>
      </c>
      <c r="L19" s="128">
        <v>574</v>
      </c>
      <c r="M19" s="102" t="s">
        <v>298</v>
      </c>
      <c r="N19" s="103" t="s">
        <v>363</v>
      </c>
      <c r="O19" s="102" t="s">
        <v>299</v>
      </c>
      <c r="P19" s="102" t="s">
        <v>300</v>
      </c>
      <c r="Q19" s="102" t="s">
        <v>305</v>
      </c>
      <c r="R19" s="102" t="s">
        <v>302</v>
      </c>
      <c r="S19" s="99"/>
    </row>
    <row r="20" spans="1:19" ht="68" outlineLevel="1">
      <c r="A20" s="99" t="s">
        <v>357</v>
      </c>
      <c r="B20" s="102" t="s">
        <v>9</v>
      </c>
      <c r="C20" s="103" t="s">
        <v>10</v>
      </c>
      <c r="D20" s="103" t="s">
        <v>403</v>
      </c>
      <c r="E20" s="104" t="s">
        <v>391</v>
      </c>
      <c r="F20" s="104" t="s">
        <v>303</v>
      </c>
      <c r="G20" s="104" t="s">
        <v>360</v>
      </c>
      <c r="H20" s="103" t="s">
        <v>361</v>
      </c>
      <c r="I20" s="104" t="s">
        <v>404</v>
      </c>
      <c r="J20" s="127" t="s">
        <v>312</v>
      </c>
      <c r="K20" s="128">
        <v>40</v>
      </c>
      <c r="L20" s="128">
        <v>10</v>
      </c>
      <c r="M20" s="102" t="s">
        <v>298</v>
      </c>
      <c r="N20" s="103" t="s">
        <v>405</v>
      </c>
      <c r="O20" s="102" t="s">
        <v>299</v>
      </c>
      <c r="P20" s="102" t="s">
        <v>300</v>
      </c>
      <c r="Q20" s="102" t="s">
        <v>305</v>
      </c>
      <c r="R20" s="102" t="s">
        <v>302</v>
      </c>
      <c r="S20" s="99"/>
    </row>
    <row r="21" spans="1:19" ht="85" outlineLevel="1">
      <c r="A21" s="99" t="s">
        <v>357</v>
      </c>
      <c r="B21" s="102" t="s">
        <v>9</v>
      </c>
      <c r="C21" s="103" t="s">
        <v>10</v>
      </c>
      <c r="D21" s="103" t="s">
        <v>406</v>
      </c>
      <c r="E21" s="104" t="s">
        <v>391</v>
      </c>
      <c r="F21" s="104" t="s">
        <v>303</v>
      </c>
      <c r="G21" s="104" t="s">
        <v>360</v>
      </c>
      <c r="H21" s="103" t="s">
        <v>361</v>
      </c>
      <c r="I21" s="104" t="s">
        <v>407</v>
      </c>
      <c r="J21" s="127" t="s">
        <v>312</v>
      </c>
      <c r="K21" s="128"/>
      <c r="L21" s="128"/>
      <c r="M21" s="102" t="s">
        <v>298</v>
      </c>
      <c r="N21" s="103" t="s">
        <v>405</v>
      </c>
      <c r="O21" s="102" t="s">
        <v>299</v>
      </c>
      <c r="P21" s="102" t="s">
        <v>300</v>
      </c>
      <c r="Q21" s="102" t="s">
        <v>305</v>
      </c>
      <c r="R21" s="102" t="s">
        <v>302</v>
      </c>
      <c r="S21" s="99"/>
    </row>
    <row r="22" spans="1:19" ht="87.75" customHeight="1" outlineLevel="1">
      <c r="A22" s="99" t="s">
        <v>357</v>
      </c>
      <c r="B22" s="102" t="s">
        <v>9</v>
      </c>
      <c r="C22" s="103" t="s">
        <v>10</v>
      </c>
      <c r="D22" s="103" t="s">
        <v>408</v>
      </c>
      <c r="E22" s="104" t="s">
        <v>391</v>
      </c>
      <c r="F22" s="104" t="s">
        <v>303</v>
      </c>
      <c r="G22" s="104" t="s">
        <v>409</v>
      </c>
      <c r="H22" s="104" t="s">
        <v>410</v>
      </c>
      <c r="I22" s="104" t="s">
        <v>324</v>
      </c>
      <c r="J22" s="127" t="s">
        <v>312</v>
      </c>
      <c r="K22" s="128">
        <v>2</v>
      </c>
      <c r="L22" s="128">
        <v>4</v>
      </c>
      <c r="M22" s="102" t="s">
        <v>298</v>
      </c>
      <c r="N22" s="103" t="s">
        <v>411</v>
      </c>
      <c r="O22" s="102" t="s">
        <v>299</v>
      </c>
      <c r="P22" s="102" t="s">
        <v>300</v>
      </c>
      <c r="Q22" s="102" t="s">
        <v>305</v>
      </c>
      <c r="R22" s="102" t="s">
        <v>302</v>
      </c>
      <c r="S22" s="99"/>
    </row>
    <row r="23" spans="1:19" ht="85" outlineLevel="1">
      <c r="A23" s="99" t="s">
        <v>357</v>
      </c>
      <c r="B23" s="102" t="s">
        <v>9</v>
      </c>
      <c r="C23" s="103" t="s">
        <v>10</v>
      </c>
      <c r="D23" s="103" t="s">
        <v>412</v>
      </c>
      <c r="E23" s="104" t="s">
        <v>391</v>
      </c>
      <c r="F23" s="104" t="s">
        <v>303</v>
      </c>
      <c r="G23" s="104" t="s">
        <v>413</v>
      </c>
      <c r="H23" s="104" t="s">
        <v>414</v>
      </c>
      <c r="I23" s="104" t="s">
        <v>324</v>
      </c>
      <c r="J23" s="127" t="s">
        <v>312</v>
      </c>
      <c r="K23" s="104">
        <v>2</v>
      </c>
      <c r="L23" s="104">
        <v>52</v>
      </c>
      <c r="M23" s="102" t="s">
        <v>298</v>
      </c>
      <c r="N23" s="103" t="s">
        <v>411</v>
      </c>
      <c r="O23" s="102" t="s">
        <v>299</v>
      </c>
      <c r="P23" s="102" t="s">
        <v>300</v>
      </c>
      <c r="Q23" s="102" t="s">
        <v>305</v>
      </c>
      <c r="R23" s="102" t="s">
        <v>302</v>
      </c>
      <c r="S23" s="99"/>
    </row>
    <row r="24" spans="1:19" ht="85" outlineLevel="1">
      <c r="A24" s="99" t="s">
        <v>357</v>
      </c>
      <c r="B24" s="102" t="s">
        <v>9</v>
      </c>
      <c r="C24" s="103" t="s">
        <v>10</v>
      </c>
      <c r="D24" s="103" t="s">
        <v>415</v>
      </c>
      <c r="E24" s="104" t="s">
        <v>391</v>
      </c>
      <c r="F24" s="393" t="s">
        <v>296</v>
      </c>
      <c r="G24" s="104" t="s">
        <v>409</v>
      </c>
      <c r="H24" s="104" t="s">
        <v>414</v>
      </c>
      <c r="I24" s="104" t="s">
        <v>306</v>
      </c>
      <c r="J24" s="127" t="s">
        <v>312</v>
      </c>
      <c r="K24" s="104">
        <v>2</v>
      </c>
      <c r="L24" s="104">
        <v>12</v>
      </c>
      <c r="M24" s="102" t="s">
        <v>298</v>
      </c>
      <c r="N24" s="103" t="s">
        <v>411</v>
      </c>
      <c r="O24" s="102" t="s">
        <v>299</v>
      </c>
      <c r="P24" s="102" t="s">
        <v>300</v>
      </c>
      <c r="Q24" s="102" t="s">
        <v>305</v>
      </c>
      <c r="R24" s="102" t="s">
        <v>302</v>
      </c>
      <c r="S24" s="99"/>
    </row>
    <row r="25" spans="1:19" ht="68" outlineLevel="1">
      <c r="A25" s="99" t="s">
        <v>357</v>
      </c>
      <c r="B25" s="102" t="s">
        <v>9</v>
      </c>
      <c r="C25" s="103" t="s">
        <v>10</v>
      </c>
      <c r="D25" s="103" t="s">
        <v>416</v>
      </c>
      <c r="E25" s="104" t="s">
        <v>391</v>
      </c>
      <c r="F25" s="104" t="s">
        <v>303</v>
      </c>
      <c r="G25" s="104" t="s">
        <v>417</v>
      </c>
      <c r="H25" s="104" t="s">
        <v>418</v>
      </c>
      <c r="I25" s="104" t="s">
        <v>306</v>
      </c>
      <c r="J25" s="127" t="s">
        <v>312</v>
      </c>
      <c r="K25" s="104">
        <v>0.5</v>
      </c>
      <c r="L25" s="104">
        <v>12</v>
      </c>
      <c r="M25" s="102" t="s">
        <v>298</v>
      </c>
      <c r="N25" s="103" t="s">
        <v>419</v>
      </c>
      <c r="O25" s="102" t="s">
        <v>299</v>
      </c>
      <c r="P25" s="102" t="s">
        <v>300</v>
      </c>
      <c r="Q25" s="102" t="s">
        <v>305</v>
      </c>
      <c r="R25" s="102" t="s">
        <v>302</v>
      </c>
      <c r="S25" s="99"/>
    </row>
    <row r="26" spans="1:19" ht="68" outlineLevel="1">
      <c r="A26" s="99" t="s">
        <v>357</v>
      </c>
      <c r="B26" s="102" t="s">
        <v>9</v>
      </c>
      <c r="C26" s="103" t="s">
        <v>10</v>
      </c>
      <c r="D26" s="103" t="s">
        <v>420</v>
      </c>
      <c r="E26" s="104" t="s">
        <v>391</v>
      </c>
      <c r="F26" s="104" t="s">
        <v>303</v>
      </c>
      <c r="G26" s="104" t="s">
        <v>421</v>
      </c>
      <c r="H26" s="104" t="s">
        <v>422</v>
      </c>
      <c r="I26" s="104" t="s">
        <v>306</v>
      </c>
      <c r="J26" s="127" t="s">
        <v>312</v>
      </c>
      <c r="K26" s="104">
        <v>0.5</v>
      </c>
      <c r="L26" s="104">
        <v>4</v>
      </c>
      <c r="M26" s="102" t="s">
        <v>298</v>
      </c>
      <c r="N26" s="103" t="s">
        <v>419</v>
      </c>
      <c r="O26" s="102" t="s">
        <v>299</v>
      </c>
      <c r="P26" s="102" t="s">
        <v>300</v>
      </c>
      <c r="Q26" s="102" t="s">
        <v>305</v>
      </c>
      <c r="R26" s="102" t="s">
        <v>302</v>
      </c>
      <c r="S26" s="99"/>
    </row>
    <row r="27" spans="1:19" ht="68" outlineLevel="1">
      <c r="A27" s="99" t="s">
        <v>357</v>
      </c>
      <c r="B27" s="102" t="s">
        <v>9</v>
      </c>
      <c r="C27" s="103" t="s">
        <v>10</v>
      </c>
      <c r="D27" s="103" t="s">
        <v>423</v>
      </c>
      <c r="E27" s="104" t="s">
        <v>391</v>
      </c>
      <c r="F27" s="104" t="s">
        <v>303</v>
      </c>
      <c r="G27" s="104" t="s">
        <v>409</v>
      </c>
      <c r="H27" s="104" t="s">
        <v>422</v>
      </c>
      <c r="I27" s="104" t="s">
        <v>306</v>
      </c>
      <c r="J27" s="127" t="s">
        <v>312</v>
      </c>
      <c r="K27" s="104">
        <v>3</v>
      </c>
      <c r="L27" s="104">
        <v>12</v>
      </c>
      <c r="M27" s="102" t="s">
        <v>298</v>
      </c>
      <c r="N27" s="103" t="s">
        <v>419</v>
      </c>
      <c r="O27" s="102" t="s">
        <v>299</v>
      </c>
      <c r="P27" s="102" t="s">
        <v>300</v>
      </c>
      <c r="Q27" s="102" t="s">
        <v>305</v>
      </c>
      <c r="R27" s="102" t="s">
        <v>302</v>
      </c>
      <c r="S27" s="99"/>
    </row>
    <row r="28" spans="1:19" ht="68" outlineLevel="1">
      <c r="A28" s="99" t="s">
        <v>357</v>
      </c>
      <c r="B28" s="102" t="s">
        <v>9</v>
      </c>
      <c r="C28" s="103" t="s">
        <v>10</v>
      </c>
      <c r="D28" s="103" t="s">
        <v>424</v>
      </c>
      <c r="E28" s="104" t="s">
        <v>391</v>
      </c>
      <c r="F28" s="104" t="s">
        <v>303</v>
      </c>
      <c r="G28" s="104" t="s">
        <v>409</v>
      </c>
      <c r="H28" s="104" t="s">
        <v>422</v>
      </c>
      <c r="I28" s="104" t="s">
        <v>306</v>
      </c>
      <c r="J28" s="127" t="s">
        <v>312</v>
      </c>
      <c r="K28" s="104">
        <v>0.5</v>
      </c>
      <c r="L28" s="104">
        <v>12</v>
      </c>
      <c r="M28" s="102" t="s">
        <v>298</v>
      </c>
      <c r="N28" s="103" t="s">
        <v>419</v>
      </c>
      <c r="O28" s="102" t="s">
        <v>299</v>
      </c>
      <c r="P28" s="102" t="s">
        <v>300</v>
      </c>
      <c r="Q28" s="102" t="s">
        <v>305</v>
      </c>
      <c r="R28" s="102" t="s">
        <v>302</v>
      </c>
      <c r="S28" s="99"/>
    </row>
    <row r="29" spans="1:19" ht="85" outlineLevel="1">
      <c r="A29" s="99" t="s">
        <v>357</v>
      </c>
      <c r="B29" s="102" t="s">
        <v>9</v>
      </c>
      <c r="C29" s="103" t="s">
        <v>10</v>
      </c>
      <c r="D29" s="103" t="s">
        <v>425</v>
      </c>
      <c r="E29" s="104" t="s">
        <v>391</v>
      </c>
      <c r="F29" s="104" t="s">
        <v>303</v>
      </c>
      <c r="G29" s="104" t="s">
        <v>417</v>
      </c>
      <c r="H29" s="104" t="s">
        <v>414</v>
      </c>
      <c r="I29" s="104" t="s">
        <v>324</v>
      </c>
      <c r="J29" s="127" t="s">
        <v>312</v>
      </c>
      <c r="K29" s="104">
        <v>3</v>
      </c>
      <c r="L29" s="104">
        <v>12</v>
      </c>
      <c r="M29" s="102" t="s">
        <v>298</v>
      </c>
      <c r="N29" s="103" t="s">
        <v>419</v>
      </c>
      <c r="O29" s="102" t="s">
        <v>299</v>
      </c>
      <c r="P29" s="102" t="s">
        <v>300</v>
      </c>
      <c r="Q29" s="102" t="s">
        <v>305</v>
      </c>
      <c r="R29" s="102" t="s">
        <v>302</v>
      </c>
      <c r="S29" s="99"/>
    </row>
    <row r="30" spans="1:19" s="82" customFormat="1" ht="136">
      <c r="A30" s="99" t="s">
        <v>357</v>
      </c>
      <c r="B30" s="99" t="s">
        <v>9</v>
      </c>
      <c r="C30" s="100" t="s">
        <v>10</v>
      </c>
      <c r="D30" s="103" t="s">
        <v>426</v>
      </c>
      <c r="E30" s="101" t="s">
        <v>427</v>
      </c>
      <c r="F30" s="101" t="s">
        <v>303</v>
      </c>
      <c r="G30" s="101" t="s">
        <v>392</v>
      </c>
      <c r="H30" s="100" t="s">
        <v>361</v>
      </c>
      <c r="I30" s="101" t="s">
        <v>428</v>
      </c>
      <c r="J30" s="125" t="s">
        <v>312</v>
      </c>
      <c r="K30" s="126">
        <f>K31+K32+K33+K34+K35+K36+K37+K38+K39+K40+K41+K42+K43+K44</f>
        <v>652</v>
      </c>
      <c r="L30" s="126">
        <f>L31+L32+L33+L34+L35+L36+L37+L38+L39+L40+L41+L42+L43+L44</f>
        <v>386</v>
      </c>
      <c r="M30" s="99" t="s">
        <v>298</v>
      </c>
      <c r="N30" s="100" t="s">
        <v>429</v>
      </c>
      <c r="O30" s="99" t="s">
        <v>299</v>
      </c>
      <c r="P30" s="99" t="s">
        <v>300</v>
      </c>
      <c r="Q30" s="99" t="s">
        <v>305</v>
      </c>
      <c r="R30" s="99" t="s">
        <v>302</v>
      </c>
      <c r="S30" s="99"/>
    </row>
    <row r="31" spans="1:19" ht="85" outlineLevel="1">
      <c r="A31" s="99" t="s">
        <v>357</v>
      </c>
      <c r="B31" s="102" t="s">
        <v>9</v>
      </c>
      <c r="C31" s="103" t="s">
        <v>10</v>
      </c>
      <c r="D31" s="103" t="s">
        <v>430</v>
      </c>
      <c r="E31" s="104" t="s">
        <v>427</v>
      </c>
      <c r="F31" s="104" t="s">
        <v>303</v>
      </c>
      <c r="G31" s="104" t="s">
        <v>360</v>
      </c>
      <c r="H31" s="103" t="s">
        <v>361</v>
      </c>
      <c r="I31" s="104" t="s">
        <v>431</v>
      </c>
      <c r="J31" s="127" t="s">
        <v>312</v>
      </c>
      <c r="K31" s="128">
        <v>58</v>
      </c>
      <c r="L31" s="128">
        <v>11</v>
      </c>
      <c r="M31" s="102" t="s">
        <v>298</v>
      </c>
      <c r="N31" s="103" t="s">
        <v>429</v>
      </c>
      <c r="O31" s="102" t="s">
        <v>299</v>
      </c>
      <c r="P31" s="102" t="s">
        <v>300</v>
      </c>
      <c r="Q31" s="102" t="s">
        <v>305</v>
      </c>
      <c r="R31" s="102" t="s">
        <v>302</v>
      </c>
      <c r="S31" s="99"/>
    </row>
    <row r="32" spans="1:19" ht="102" outlineLevel="1">
      <c r="A32" s="99" t="s">
        <v>357</v>
      </c>
      <c r="B32" s="102" t="s">
        <v>9</v>
      </c>
      <c r="C32" s="103" t="s">
        <v>10</v>
      </c>
      <c r="D32" s="103" t="s">
        <v>432</v>
      </c>
      <c r="E32" s="104" t="s">
        <v>427</v>
      </c>
      <c r="F32" s="104" t="s">
        <v>303</v>
      </c>
      <c r="G32" s="104" t="s">
        <v>360</v>
      </c>
      <c r="H32" s="103" t="s">
        <v>361</v>
      </c>
      <c r="I32" s="104" t="s">
        <v>433</v>
      </c>
      <c r="J32" s="127" t="s">
        <v>312</v>
      </c>
      <c r="K32" s="128">
        <v>58</v>
      </c>
      <c r="L32" s="128">
        <v>11</v>
      </c>
      <c r="M32" s="102" t="s">
        <v>298</v>
      </c>
      <c r="N32" s="103" t="s">
        <v>429</v>
      </c>
      <c r="O32" s="102" t="s">
        <v>299</v>
      </c>
      <c r="P32" s="102" t="s">
        <v>300</v>
      </c>
      <c r="Q32" s="102" t="s">
        <v>305</v>
      </c>
      <c r="R32" s="102" t="s">
        <v>302</v>
      </c>
      <c r="S32" s="99"/>
    </row>
    <row r="33" spans="1:19" ht="102" outlineLevel="1">
      <c r="A33" s="99" t="s">
        <v>357</v>
      </c>
      <c r="B33" s="102" t="s">
        <v>9</v>
      </c>
      <c r="C33" s="103" t="s">
        <v>10</v>
      </c>
      <c r="D33" s="103" t="s">
        <v>434</v>
      </c>
      <c r="E33" s="104" t="s">
        <v>435</v>
      </c>
      <c r="F33" s="104" t="s">
        <v>303</v>
      </c>
      <c r="G33" s="104" t="s">
        <v>360</v>
      </c>
      <c r="H33" s="103" t="s">
        <v>361</v>
      </c>
      <c r="I33" s="104" t="s">
        <v>436</v>
      </c>
      <c r="J33" s="127" t="s">
        <v>312</v>
      </c>
      <c r="K33" s="128">
        <v>58</v>
      </c>
      <c r="L33" s="128">
        <v>11</v>
      </c>
      <c r="M33" s="102" t="s">
        <v>298</v>
      </c>
      <c r="N33" s="103" t="s">
        <v>429</v>
      </c>
      <c r="O33" s="102" t="s">
        <v>299</v>
      </c>
      <c r="P33" s="102" t="s">
        <v>300</v>
      </c>
      <c r="Q33" s="102" t="s">
        <v>305</v>
      </c>
      <c r="R33" s="102" t="s">
        <v>302</v>
      </c>
      <c r="S33" s="99"/>
    </row>
    <row r="34" spans="1:19" ht="68" outlineLevel="1">
      <c r="A34" s="99" t="s">
        <v>357</v>
      </c>
      <c r="B34" s="102" t="s">
        <v>9</v>
      </c>
      <c r="C34" s="103" t="s">
        <v>10</v>
      </c>
      <c r="D34" s="103" t="s">
        <v>437</v>
      </c>
      <c r="E34" s="104" t="s">
        <v>427</v>
      </c>
      <c r="F34" s="104" t="s">
        <v>303</v>
      </c>
      <c r="G34" s="104" t="s">
        <v>360</v>
      </c>
      <c r="H34" s="103" t="s">
        <v>361</v>
      </c>
      <c r="I34" s="104" t="s">
        <v>438</v>
      </c>
      <c r="J34" s="127" t="s">
        <v>312</v>
      </c>
      <c r="K34" s="128">
        <v>0.5</v>
      </c>
      <c r="L34" s="128">
        <v>11</v>
      </c>
      <c r="M34" s="102" t="s">
        <v>298</v>
      </c>
      <c r="N34" s="103" t="s">
        <v>439</v>
      </c>
      <c r="O34" s="102" t="s">
        <v>299</v>
      </c>
      <c r="P34" s="102" t="s">
        <v>300</v>
      </c>
      <c r="Q34" s="102" t="s">
        <v>305</v>
      </c>
      <c r="R34" s="102" t="s">
        <v>302</v>
      </c>
      <c r="S34" s="99"/>
    </row>
    <row r="35" spans="1:19" ht="119" outlineLevel="1">
      <c r="A35" s="99" t="s">
        <v>357</v>
      </c>
      <c r="B35" s="102" t="s">
        <v>9</v>
      </c>
      <c r="C35" s="103" t="s">
        <v>10</v>
      </c>
      <c r="D35" s="103" t="s">
        <v>440</v>
      </c>
      <c r="E35" s="104" t="s">
        <v>427</v>
      </c>
      <c r="F35" s="104" t="s">
        <v>303</v>
      </c>
      <c r="G35" s="104" t="s">
        <v>360</v>
      </c>
      <c r="H35" s="103" t="s">
        <v>361</v>
      </c>
      <c r="I35" s="104" t="s">
        <v>441</v>
      </c>
      <c r="J35" s="127" t="s">
        <v>312</v>
      </c>
      <c r="K35" s="128">
        <v>58</v>
      </c>
      <c r="L35" s="128">
        <v>11</v>
      </c>
      <c r="M35" s="102" t="s">
        <v>298</v>
      </c>
      <c r="N35" s="103" t="s">
        <v>442</v>
      </c>
      <c r="O35" s="102" t="s">
        <v>299</v>
      </c>
      <c r="P35" s="102" t="s">
        <v>300</v>
      </c>
      <c r="Q35" s="102" t="s">
        <v>305</v>
      </c>
      <c r="R35" s="102" t="s">
        <v>302</v>
      </c>
      <c r="S35" s="99"/>
    </row>
    <row r="36" spans="1:19" ht="51" outlineLevel="1">
      <c r="A36" s="99" t="s">
        <v>357</v>
      </c>
      <c r="B36" s="102" t="s">
        <v>9</v>
      </c>
      <c r="C36" s="103" t="s">
        <v>10</v>
      </c>
      <c r="D36" s="103" t="s">
        <v>443</v>
      </c>
      <c r="E36" s="104" t="s">
        <v>427</v>
      </c>
      <c r="F36" s="104" t="s">
        <v>303</v>
      </c>
      <c r="G36" s="104" t="s">
        <v>322</v>
      </c>
      <c r="H36" s="104" t="s">
        <v>444</v>
      </c>
      <c r="I36" s="104" t="s">
        <v>445</v>
      </c>
      <c r="J36" s="127" t="s">
        <v>312</v>
      </c>
      <c r="K36" s="104">
        <v>160</v>
      </c>
      <c r="L36" s="104">
        <v>1</v>
      </c>
      <c r="M36" s="102" t="s">
        <v>298</v>
      </c>
      <c r="N36" s="103" t="s">
        <v>446</v>
      </c>
      <c r="O36" s="102" t="s">
        <v>299</v>
      </c>
      <c r="P36" s="102" t="s">
        <v>300</v>
      </c>
      <c r="Q36" s="102" t="s">
        <v>305</v>
      </c>
      <c r="R36" s="102" t="s">
        <v>302</v>
      </c>
      <c r="S36" s="99"/>
    </row>
    <row r="37" spans="1:19" ht="51" outlineLevel="1">
      <c r="A37" s="99" t="s">
        <v>357</v>
      </c>
      <c r="B37" s="102" t="s">
        <v>9</v>
      </c>
      <c r="C37" s="103" t="s">
        <v>10</v>
      </c>
      <c r="D37" s="103" t="s">
        <v>447</v>
      </c>
      <c r="E37" s="104" t="s">
        <v>427</v>
      </c>
      <c r="F37" s="104" t="s">
        <v>303</v>
      </c>
      <c r="G37" s="104" t="s">
        <v>322</v>
      </c>
      <c r="H37" s="104" t="s">
        <v>444</v>
      </c>
      <c r="I37" s="104" t="s">
        <v>324</v>
      </c>
      <c r="J37" s="127" t="s">
        <v>312</v>
      </c>
      <c r="K37" s="104">
        <v>120</v>
      </c>
      <c r="L37" s="104">
        <v>1</v>
      </c>
      <c r="M37" s="102" t="s">
        <v>298</v>
      </c>
      <c r="N37" s="103" t="s">
        <v>446</v>
      </c>
      <c r="O37" s="102" t="s">
        <v>299</v>
      </c>
      <c r="P37" s="102" t="s">
        <v>300</v>
      </c>
      <c r="Q37" s="102" t="s">
        <v>305</v>
      </c>
      <c r="R37" s="102" t="s">
        <v>302</v>
      </c>
      <c r="S37" s="99"/>
    </row>
    <row r="38" spans="1:19" ht="136" outlineLevel="1">
      <c r="A38" s="99" t="s">
        <v>357</v>
      </c>
      <c r="B38" s="102" t="s">
        <v>9</v>
      </c>
      <c r="C38" s="103" t="s">
        <v>10</v>
      </c>
      <c r="D38" s="103" t="s">
        <v>448</v>
      </c>
      <c r="E38" s="104" t="s">
        <v>427</v>
      </c>
      <c r="F38" s="104" t="s">
        <v>303</v>
      </c>
      <c r="G38" s="104" t="s">
        <v>322</v>
      </c>
      <c r="H38" s="104" t="s">
        <v>449</v>
      </c>
      <c r="I38" s="104" t="s">
        <v>450</v>
      </c>
      <c r="J38" s="127" t="s">
        <v>312</v>
      </c>
      <c r="K38" s="104">
        <v>8</v>
      </c>
      <c r="L38" s="104">
        <v>24</v>
      </c>
      <c r="M38" s="102" t="s">
        <v>298</v>
      </c>
      <c r="N38" s="103" t="s">
        <v>451</v>
      </c>
      <c r="O38" s="102" t="s">
        <v>299</v>
      </c>
      <c r="P38" s="102" t="s">
        <v>300</v>
      </c>
      <c r="Q38" s="102" t="s">
        <v>305</v>
      </c>
      <c r="R38" s="102" t="s">
        <v>302</v>
      </c>
      <c r="S38" s="99"/>
    </row>
    <row r="39" spans="1:19" ht="51" outlineLevel="1">
      <c r="A39" s="99" t="s">
        <v>357</v>
      </c>
      <c r="B39" s="102" t="s">
        <v>9</v>
      </c>
      <c r="C39" s="103" t="s">
        <v>10</v>
      </c>
      <c r="D39" s="103" t="s">
        <v>452</v>
      </c>
      <c r="E39" s="104" t="s">
        <v>427</v>
      </c>
      <c r="F39" s="104" t="s">
        <v>303</v>
      </c>
      <c r="G39" s="104" t="s">
        <v>322</v>
      </c>
      <c r="H39" s="104" t="s">
        <v>453</v>
      </c>
      <c r="I39" s="104" t="s">
        <v>324</v>
      </c>
      <c r="J39" s="127" t="s">
        <v>312</v>
      </c>
      <c r="K39" s="104">
        <v>0.5</v>
      </c>
      <c r="L39" s="104">
        <v>250</v>
      </c>
      <c r="M39" s="102" t="s">
        <v>298</v>
      </c>
      <c r="N39" s="103" t="s">
        <v>439</v>
      </c>
      <c r="O39" s="102" t="s">
        <v>299</v>
      </c>
      <c r="P39" s="102" t="s">
        <v>300</v>
      </c>
      <c r="Q39" s="102" t="s">
        <v>305</v>
      </c>
      <c r="R39" s="102" t="s">
        <v>302</v>
      </c>
      <c r="S39" s="99"/>
    </row>
    <row r="40" spans="1:19" ht="119" outlineLevel="1">
      <c r="A40" s="99" t="s">
        <v>357</v>
      </c>
      <c r="B40" s="102" t="s">
        <v>9</v>
      </c>
      <c r="C40" s="103" t="s">
        <v>10</v>
      </c>
      <c r="D40" s="103" t="s">
        <v>454</v>
      </c>
      <c r="E40" s="104" t="s">
        <v>455</v>
      </c>
      <c r="F40" s="104" t="s">
        <v>303</v>
      </c>
      <c r="G40" s="104" t="s">
        <v>456</v>
      </c>
      <c r="H40" s="104" t="s">
        <v>457</v>
      </c>
      <c r="I40" s="104" t="s">
        <v>458</v>
      </c>
      <c r="J40" s="127" t="s">
        <v>312</v>
      </c>
      <c r="K40" s="104">
        <v>120</v>
      </c>
      <c r="L40" s="104">
        <v>3</v>
      </c>
      <c r="M40" s="102" t="s">
        <v>298</v>
      </c>
      <c r="N40" s="103" t="s">
        <v>459</v>
      </c>
      <c r="O40" s="102" t="s">
        <v>299</v>
      </c>
      <c r="P40" s="102" t="s">
        <v>300</v>
      </c>
      <c r="Q40" s="102" t="s">
        <v>305</v>
      </c>
      <c r="R40" s="102" t="s">
        <v>302</v>
      </c>
      <c r="S40" s="99"/>
    </row>
    <row r="41" spans="1:19" ht="51" outlineLevel="1">
      <c r="A41" s="99" t="s">
        <v>357</v>
      </c>
      <c r="B41" s="102" t="s">
        <v>9</v>
      </c>
      <c r="C41" s="103" t="s">
        <v>10</v>
      </c>
      <c r="D41" s="103" t="s">
        <v>460</v>
      </c>
      <c r="E41" s="104" t="s">
        <v>427</v>
      </c>
      <c r="F41" s="104" t="s">
        <v>303</v>
      </c>
      <c r="G41" s="104" t="s">
        <v>322</v>
      </c>
      <c r="H41" s="104" t="s">
        <v>444</v>
      </c>
      <c r="I41" s="104" t="s">
        <v>306</v>
      </c>
      <c r="J41" s="127" t="s">
        <v>312</v>
      </c>
      <c r="K41" s="104">
        <v>8</v>
      </c>
      <c r="L41" s="104">
        <v>16</v>
      </c>
      <c r="M41" s="102" t="s">
        <v>298</v>
      </c>
      <c r="N41" s="103" t="s">
        <v>411</v>
      </c>
      <c r="O41" s="102" t="s">
        <v>299</v>
      </c>
      <c r="P41" s="102" t="s">
        <v>300</v>
      </c>
      <c r="Q41" s="102" t="s">
        <v>305</v>
      </c>
      <c r="R41" s="102" t="s">
        <v>302</v>
      </c>
      <c r="S41" s="99"/>
    </row>
    <row r="42" spans="1:19" ht="51" outlineLevel="1">
      <c r="A42" s="99" t="s">
        <v>357</v>
      </c>
      <c r="B42" s="102" t="s">
        <v>9</v>
      </c>
      <c r="C42" s="103" t="s">
        <v>10</v>
      </c>
      <c r="D42" s="103" t="s">
        <v>461</v>
      </c>
      <c r="E42" s="104" t="s">
        <v>427</v>
      </c>
      <c r="F42" s="104" t="s">
        <v>303</v>
      </c>
      <c r="G42" s="104" t="s">
        <v>409</v>
      </c>
      <c r="H42" s="104" t="s">
        <v>422</v>
      </c>
      <c r="I42" s="104" t="s">
        <v>306</v>
      </c>
      <c r="J42" s="127" t="s">
        <v>312</v>
      </c>
      <c r="K42" s="104">
        <v>0.5</v>
      </c>
      <c r="L42" s="104">
        <v>12</v>
      </c>
      <c r="M42" s="102" t="s">
        <v>298</v>
      </c>
      <c r="N42" s="103" t="s">
        <v>462</v>
      </c>
      <c r="O42" s="102" t="s">
        <v>299</v>
      </c>
      <c r="P42" s="102" t="s">
        <v>300</v>
      </c>
      <c r="Q42" s="102" t="s">
        <v>305</v>
      </c>
      <c r="R42" s="102" t="s">
        <v>302</v>
      </c>
      <c r="S42" s="99"/>
    </row>
    <row r="43" spans="1:19" ht="85" outlineLevel="1">
      <c r="A43" s="99" t="s">
        <v>357</v>
      </c>
      <c r="B43" s="102" t="s">
        <v>9</v>
      </c>
      <c r="C43" s="103" t="s">
        <v>10</v>
      </c>
      <c r="D43" s="103" t="s">
        <v>463</v>
      </c>
      <c r="E43" s="104" t="s">
        <v>427</v>
      </c>
      <c r="F43" s="104" t="s">
        <v>303</v>
      </c>
      <c r="G43" s="104" t="s">
        <v>409</v>
      </c>
      <c r="H43" s="104" t="s">
        <v>422</v>
      </c>
      <c r="I43" s="104" t="s">
        <v>464</v>
      </c>
      <c r="J43" s="127" t="s">
        <v>312</v>
      </c>
      <c r="K43" s="104">
        <v>0.5</v>
      </c>
      <c r="L43" s="104">
        <v>12</v>
      </c>
      <c r="M43" s="102" t="s">
        <v>298</v>
      </c>
      <c r="N43" s="103" t="s">
        <v>442</v>
      </c>
      <c r="O43" s="102" t="s">
        <v>299</v>
      </c>
      <c r="P43" s="102" t="s">
        <v>300</v>
      </c>
      <c r="Q43" s="102" t="s">
        <v>305</v>
      </c>
      <c r="R43" s="102" t="s">
        <v>302</v>
      </c>
      <c r="S43" s="99"/>
    </row>
    <row r="44" spans="1:19" ht="85" outlineLevel="1">
      <c r="A44" s="99" t="s">
        <v>357</v>
      </c>
      <c r="B44" s="102" t="s">
        <v>9</v>
      </c>
      <c r="C44" s="103" t="s">
        <v>10</v>
      </c>
      <c r="D44" s="103" t="s">
        <v>465</v>
      </c>
      <c r="E44" s="104" t="s">
        <v>427</v>
      </c>
      <c r="F44" s="104" t="s">
        <v>303</v>
      </c>
      <c r="G44" s="104" t="s">
        <v>409</v>
      </c>
      <c r="H44" s="104" t="s">
        <v>466</v>
      </c>
      <c r="I44" s="104" t="s">
        <v>306</v>
      </c>
      <c r="J44" s="127" t="s">
        <v>312</v>
      </c>
      <c r="K44" s="104">
        <v>2</v>
      </c>
      <c r="L44" s="104">
        <v>12</v>
      </c>
      <c r="M44" s="102" t="s">
        <v>298</v>
      </c>
      <c r="N44" s="103" t="s">
        <v>467</v>
      </c>
      <c r="O44" s="102" t="s">
        <v>299</v>
      </c>
      <c r="P44" s="102" t="s">
        <v>300</v>
      </c>
      <c r="Q44" s="102" t="s">
        <v>305</v>
      </c>
      <c r="R44" s="102" t="s">
        <v>302</v>
      </c>
      <c r="S44" s="99"/>
    </row>
    <row r="45" spans="1:19" ht="119">
      <c r="A45" s="99" t="s">
        <v>357</v>
      </c>
      <c r="B45" s="99" t="s">
        <v>9</v>
      </c>
      <c r="C45" s="100" t="s">
        <v>10</v>
      </c>
      <c r="D45" s="103" t="s">
        <v>468</v>
      </c>
      <c r="E45" s="101" t="s">
        <v>469</v>
      </c>
      <c r="F45" s="399" t="s">
        <v>303</v>
      </c>
      <c r="G45" s="101" t="s">
        <v>392</v>
      </c>
      <c r="H45" s="100" t="s">
        <v>361</v>
      </c>
      <c r="I45" s="101" t="s">
        <v>470</v>
      </c>
      <c r="J45" s="125" t="s">
        <v>312</v>
      </c>
      <c r="K45" s="109">
        <f>K46+K47+K48+K49+K50+K51+K52+K53+K54+K55+K56</f>
        <v>950.5</v>
      </c>
      <c r="L45" s="129">
        <f>L46+L47+L48+L49+L50+L51+L52+L53+L54+L55+L56</f>
        <v>5999</v>
      </c>
      <c r="M45" s="99" t="s">
        <v>298</v>
      </c>
      <c r="N45" s="100" t="s">
        <v>397</v>
      </c>
      <c r="O45" s="99" t="s">
        <v>299</v>
      </c>
      <c r="P45" s="99" t="s">
        <v>300</v>
      </c>
      <c r="Q45" s="99" t="s">
        <v>305</v>
      </c>
      <c r="R45" s="99" t="s">
        <v>302</v>
      </c>
      <c r="S45" s="99"/>
    </row>
    <row r="46" spans="1:19" ht="136" outlineLevel="1">
      <c r="A46" s="110" t="s">
        <v>357</v>
      </c>
      <c r="B46" s="111" t="s">
        <v>9</v>
      </c>
      <c r="C46" s="103" t="s">
        <v>10</v>
      </c>
      <c r="D46" s="103" t="s">
        <v>471</v>
      </c>
      <c r="E46" s="104" t="s">
        <v>472</v>
      </c>
      <c r="F46" s="104" t="s">
        <v>303</v>
      </c>
      <c r="G46" s="104" t="s">
        <v>360</v>
      </c>
      <c r="H46" s="104" t="s">
        <v>473</v>
      </c>
      <c r="I46" s="104" t="s">
        <v>474</v>
      </c>
      <c r="J46" s="104" t="s">
        <v>312</v>
      </c>
      <c r="K46" s="104">
        <v>40</v>
      </c>
      <c r="L46" s="104">
        <v>1</v>
      </c>
      <c r="M46" s="102" t="s">
        <v>298</v>
      </c>
      <c r="N46" s="103" t="s">
        <v>475</v>
      </c>
      <c r="O46" s="102" t="s">
        <v>299</v>
      </c>
      <c r="P46" s="102" t="s">
        <v>300</v>
      </c>
      <c r="Q46" s="102" t="s">
        <v>305</v>
      </c>
      <c r="R46" s="102" t="s">
        <v>302</v>
      </c>
      <c r="S46" s="99"/>
    </row>
    <row r="47" spans="1:19" ht="153" outlineLevel="1">
      <c r="A47" s="110" t="s">
        <v>357</v>
      </c>
      <c r="B47" s="111" t="s">
        <v>9</v>
      </c>
      <c r="C47" s="103" t="s">
        <v>10</v>
      </c>
      <c r="D47" s="103" t="s">
        <v>476</v>
      </c>
      <c r="E47" s="104" t="s">
        <v>472</v>
      </c>
      <c r="F47" s="104" t="s">
        <v>303</v>
      </c>
      <c r="G47" s="104" t="s">
        <v>477</v>
      </c>
      <c r="H47" s="104" t="s">
        <v>478</v>
      </c>
      <c r="I47" s="104" t="s">
        <v>479</v>
      </c>
      <c r="J47" s="104" t="s">
        <v>312</v>
      </c>
      <c r="K47" s="104">
        <v>240</v>
      </c>
      <c r="L47" s="104">
        <v>10</v>
      </c>
      <c r="M47" s="102" t="s">
        <v>298</v>
      </c>
      <c r="N47" s="103" t="s">
        <v>480</v>
      </c>
      <c r="O47" s="102" t="s">
        <v>299</v>
      </c>
      <c r="P47" s="102" t="s">
        <v>304</v>
      </c>
      <c r="Q47" s="102" t="s">
        <v>328</v>
      </c>
      <c r="R47" s="102" t="s">
        <v>314</v>
      </c>
      <c r="S47" s="102" t="s">
        <v>381</v>
      </c>
    </row>
    <row r="48" spans="1:19" ht="51" outlineLevel="1">
      <c r="A48" s="112" t="s">
        <v>357</v>
      </c>
      <c r="B48" s="113" t="s">
        <v>9</v>
      </c>
      <c r="C48" s="103" t="s">
        <v>10</v>
      </c>
      <c r="D48" s="103" t="s">
        <v>481</v>
      </c>
      <c r="E48" s="114" t="s">
        <v>482</v>
      </c>
      <c r="F48" s="392" t="s">
        <v>296</v>
      </c>
      <c r="G48" s="114" t="s">
        <v>483</v>
      </c>
      <c r="H48" s="115" t="s">
        <v>444</v>
      </c>
      <c r="I48" s="114" t="s">
        <v>484</v>
      </c>
      <c r="J48" s="104" t="s">
        <v>312</v>
      </c>
      <c r="K48" s="130">
        <v>256</v>
      </c>
      <c r="L48" s="130">
        <v>85</v>
      </c>
      <c r="M48" s="102" t="s">
        <v>298</v>
      </c>
      <c r="N48" s="103" t="s">
        <v>397</v>
      </c>
      <c r="O48" s="102" t="s">
        <v>299</v>
      </c>
      <c r="P48" s="102" t="s">
        <v>300</v>
      </c>
      <c r="Q48" s="102" t="s">
        <v>305</v>
      </c>
      <c r="R48" s="102" t="s">
        <v>302</v>
      </c>
      <c r="S48" s="99"/>
    </row>
    <row r="49" spans="1:131" ht="68" outlineLevel="1">
      <c r="A49" s="102" t="s">
        <v>357</v>
      </c>
      <c r="B49" s="102" t="s">
        <v>9</v>
      </c>
      <c r="C49" s="103" t="s">
        <v>10</v>
      </c>
      <c r="D49" s="103" t="s">
        <v>485</v>
      </c>
      <c r="E49" s="104" t="s">
        <v>486</v>
      </c>
      <c r="F49" s="393" t="s">
        <v>296</v>
      </c>
      <c r="G49" s="104" t="s">
        <v>345</v>
      </c>
      <c r="H49" s="114" t="s">
        <v>487</v>
      </c>
      <c r="I49" s="104" t="s">
        <v>488</v>
      </c>
      <c r="J49" s="104" t="s">
        <v>312</v>
      </c>
      <c r="K49" s="130">
        <v>120</v>
      </c>
      <c r="L49" s="107">
        <v>16</v>
      </c>
      <c r="M49" s="102" t="s">
        <v>298</v>
      </c>
      <c r="N49" s="103" t="s">
        <v>489</v>
      </c>
      <c r="O49" s="102" t="s">
        <v>299</v>
      </c>
      <c r="P49" s="102" t="s">
        <v>300</v>
      </c>
      <c r="Q49" s="102" t="s">
        <v>305</v>
      </c>
      <c r="R49" s="102" t="s">
        <v>302</v>
      </c>
      <c r="S49" s="99"/>
    </row>
    <row r="50" spans="1:131" ht="102" outlineLevel="1">
      <c r="A50" s="102" t="s">
        <v>357</v>
      </c>
      <c r="B50" s="102" t="s">
        <v>9</v>
      </c>
      <c r="C50" s="103" t="s">
        <v>10</v>
      </c>
      <c r="D50" s="104" t="s">
        <v>490</v>
      </c>
      <c r="E50" s="104" t="s">
        <v>486</v>
      </c>
      <c r="F50" s="104" t="s">
        <v>303</v>
      </c>
      <c r="G50" s="104" t="s">
        <v>345</v>
      </c>
      <c r="H50" s="114" t="s">
        <v>491</v>
      </c>
      <c r="I50" s="104" t="s">
        <v>492</v>
      </c>
      <c r="J50" s="104" t="s">
        <v>312</v>
      </c>
      <c r="K50" s="130">
        <v>120</v>
      </c>
      <c r="L50" s="107">
        <v>16</v>
      </c>
      <c r="M50" s="102" t="s">
        <v>298</v>
      </c>
      <c r="N50" s="103" t="s">
        <v>493</v>
      </c>
      <c r="O50" s="102" t="s">
        <v>299</v>
      </c>
      <c r="P50" s="102" t="s">
        <v>300</v>
      </c>
      <c r="Q50" s="102" t="s">
        <v>305</v>
      </c>
      <c r="R50" s="102" t="s">
        <v>302</v>
      </c>
      <c r="S50" s="99"/>
    </row>
    <row r="51" spans="1:131" ht="51" outlineLevel="1">
      <c r="A51" s="102" t="s">
        <v>357</v>
      </c>
      <c r="B51" s="102" t="s">
        <v>9</v>
      </c>
      <c r="C51" s="103" t="s">
        <v>10</v>
      </c>
      <c r="D51" s="104" t="s">
        <v>494</v>
      </c>
      <c r="E51" s="104" t="s">
        <v>486</v>
      </c>
      <c r="F51" s="104" t="s">
        <v>303</v>
      </c>
      <c r="G51" s="104" t="s">
        <v>318</v>
      </c>
      <c r="H51" s="114" t="s">
        <v>495</v>
      </c>
      <c r="I51" s="104" t="s">
        <v>348</v>
      </c>
      <c r="J51" s="104" t="s">
        <v>312</v>
      </c>
      <c r="K51" s="130">
        <v>120</v>
      </c>
      <c r="L51" s="107">
        <v>16</v>
      </c>
      <c r="M51" s="102" t="s">
        <v>298</v>
      </c>
      <c r="N51" s="102" t="s">
        <v>496</v>
      </c>
      <c r="O51" s="102" t="s">
        <v>299</v>
      </c>
      <c r="P51" s="102" t="s">
        <v>304</v>
      </c>
      <c r="Q51" s="102" t="s">
        <v>328</v>
      </c>
      <c r="R51" s="102" t="s">
        <v>314</v>
      </c>
      <c r="S51" s="103" t="s">
        <v>497</v>
      </c>
    </row>
    <row r="52" spans="1:131" ht="76.5" customHeight="1" outlineLevel="1">
      <c r="A52" s="116" t="s">
        <v>357</v>
      </c>
      <c r="B52" s="107" t="s">
        <v>9</v>
      </c>
      <c r="C52" s="103" t="s">
        <v>10</v>
      </c>
      <c r="D52" s="104" t="s">
        <v>498</v>
      </c>
      <c r="E52" s="104" t="s">
        <v>499</v>
      </c>
      <c r="F52" s="104" t="s">
        <v>303</v>
      </c>
      <c r="G52" s="104" t="s">
        <v>345</v>
      </c>
      <c r="H52" s="115" t="s">
        <v>444</v>
      </c>
      <c r="I52" s="104" t="s">
        <v>500</v>
      </c>
      <c r="J52" s="104" t="s">
        <v>312</v>
      </c>
      <c r="K52" s="131">
        <v>40</v>
      </c>
      <c r="L52" s="128">
        <v>120</v>
      </c>
      <c r="M52" s="102" t="s">
        <v>298</v>
      </c>
      <c r="N52" s="102" t="s">
        <v>501</v>
      </c>
      <c r="O52" s="102" t="s">
        <v>299</v>
      </c>
      <c r="P52" s="102" t="s">
        <v>300</v>
      </c>
      <c r="Q52" s="102" t="s">
        <v>305</v>
      </c>
      <c r="R52" s="102" t="s">
        <v>302</v>
      </c>
      <c r="S52" s="99"/>
    </row>
    <row r="53" spans="1:131" ht="85" outlineLevel="1">
      <c r="A53" s="102" t="s">
        <v>357</v>
      </c>
      <c r="B53" s="102" t="s">
        <v>9</v>
      </c>
      <c r="C53" s="103" t="s">
        <v>10</v>
      </c>
      <c r="D53" s="104" t="s">
        <v>502</v>
      </c>
      <c r="E53" s="104" t="s">
        <v>435</v>
      </c>
      <c r="F53" s="104" t="s">
        <v>303</v>
      </c>
      <c r="G53" s="104" t="s">
        <v>503</v>
      </c>
      <c r="H53" s="104" t="s">
        <v>466</v>
      </c>
      <c r="I53" s="104" t="s">
        <v>504</v>
      </c>
      <c r="J53" s="104" t="s">
        <v>312</v>
      </c>
      <c r="K53" s="128">
        <v>0.5</v>
      </c>
      <c r="L53" s="128">
        <v>1000</v>
      </c>
      <c r="M53" s="102" t="s">
        <v>298</v>
      </c>
      <c r="N53" s="103" t="s">
        <v>397</v>
      </c>
      <c r="O53" s="102" t="s">
        <v>299</v>
      </c>
      <c r="P53" s="102" t="s">
        <v>304</v>
      </c>
      <c r="Q53" s="102" t="s">
        <v>328</v>
      </c>
      <c r="R53" s="102" t="s">
        <v>314</v>
      </c>
      <c r="S53" s="102" t="s">
        <v>381</v>
      </c>
    </row>
    <row r="54" spans="1:131" ht="132.75" customHeight="1" outlineLevel="1">
      <c r="A54" s="117" t="s">
        <v>357</v>
      </c>
      <c r="B54" s="113" t="s">
        <v>9</v>
      </c>
      <c r="C54" s="103" t="s">
        <v>10</v>
      </c>
      <c r="D54" s="114" t="s">
        <v>505</v>
      </c>
      <c r="E54" s="114" t="s">
        <v>486</v>
      </c>
      <c r="F54" s="114" t="s">
        <v>303</v>
      </c>
      <c r="G54" s="114" t="s">
        <v>506</v>
      </c>
      <c r="H54" s="114" t="s">
        <v>507</v>
      </c>
      <c r="I54" s="114" t="s">
        <v>508</v>
      </c>
      <c r="J54" s="104" t="s">
        <v>312</v>
      </c>
      <c r="K54" s="132">
        <v>5</v>
      </c>
      <c r="L54" s="130">
        <v>35</v>
      </c>
      <c r="M54" s="102" t="s">
        <v>298</v>
      </c>
      <c r="N54" s="103" t="s">
        <v>509</v>
      </c>
      <c r="O54" s="102" t="s">
        <v>299</v>
      </c>
      <c r="P54" s="102" t="s">
        <v>300</v>
      </c>
      <c r="Q54" s="102" t="s">
        <v>305</v>
      </c>
      <c r="R54" s="102" t="s">
        <v>302</v>
      </c>
      <c r="S54" s="99"/>
    </row>
    <row r="55" spans="1:131" ht="119" outlineLevel="1">
      <c r="A55" s="117" t="s">
        <v>357</v>
      </c>
      <c r="B55" s="113" t="s">
        <v>9</v>
      </c>
      <c r="C55" s="103" t="s">
        <v>10</v>
      </c>
      <c r="D55" s="114" t="s">
        <v>510</v>
      </c>
      <c r="E55" s="114" t="s">
        <v>511</v>
      </c>
      <c r="F55" s="114" t="s">
        <v>303</v>
      </c>
      <c r="G55" s="114" t="s">
        <v>421</v>
      </c>
      <c r="H55" s="114" t="s">
        <v>512</v>
      </c>
      <c r="I55" s="114" t="s">
        <v>513</v>
      </c>
      <c r="J55" s="104" t="s">
        <v>312</v>
      </c>
      <c r="K55" s="133">
        <v>8</v>
      </c>
      <c r="L55" s="134">
        <v>4000</v>
      </c>
      <c r="M55" s="102" t="s">
        <v>298</v>
      </c>
      <c r="N55" s="103" t="s">
        <v>514</v>
      </c>
      <c r="O55" s="102" t="s">
        <v>299</v>
      </c>
      <c r="P55" s="102" t="s">
        <v>300</v>
      </c>
      <c r="Q55" s="102" t="s">
        <v>305</v>
      </c>
      <c r="R55" s="102" t="s">
        <v>302</v>
      </c>
      <c r="S55" s="99"/>
    </row>
    <row r="56" spans="1:131" ht="68" outlineLevel="1">
      <c r="A56" s="117" t="s">
        <v>357</v>
      </c>
      <c r="B56" s="113" t="s">
        <v>9</v>
      </c>
      <c r="C56" s="103" t="s">
        <v>10</v>
      </c>
      <c r="D56" s="114" t="s">
        <v>515</v>
      </c>
      <c r="E56" s="114" t="s">
        <v>516</v>
      </c>
      <c r="F56" s="114" t="s">
        <v>303</v>
      </c>
      <c r="G56" s="118" t="s">
        <v>517</v>
      </c>
      <c r="H56" s="114" t="s">
        <v>512</v>
      </c>
      <c r="I56" s="114" t="s">
        <v>518</v>
      </c>
      <c r="J56" s="104" t="s">
        <v>312</v>
      </c>
      <c r="K56" s="130">
        <v>1</v>
      </c>
      <c r="L56" s="130">
        <v>700</v>
      </c>
      <c r="M56" s="102" t="s">
        <v>298</v>
      </c>
      <c r="N56" s="103" t="s">
        <v>411</v>
      </c>
      <c r="O56" s="102" t="s">
        <v>299</v>
      </c>
      <c r="P56" s="102" t="s">
        <v>304</v>
      </c>
      <c r="Q56" s="102" t="s">
        <v>328</v>
      </c>
      <c r="R56" s="102" t="s">
        <v>314</v>
      </c>
      <c r="S56" s="102" t="s">
        <v>381</v>
      </c>
    </row>
    <row r="57" spans="1:131" s="84" customFormat="1" ht="51.75" customHeight="1">
      <c r="A57" s="119" t="s">
        <v>357</v>
      </c>
      <c r="B57" s="119" t="s">
        <v>9</v>
      </c>
      <c r="C57" s="100" t="s">
        <v>10</v>
      </c>
      <c r="D57" s="120" t="s">
        <v>519</v>
      </c>
      <c r="E57" s="120" t="s">
        <v>520</v>
      </c>
      <c r="F57" s="120" t="s">
        <v>303</v>
      </c>
      <c r="G57" s="120" t="s">
        <v>347</v>
      </c>
      <c r="H57" s="120" t="s">
        <v>521</v>
      </c>
      <c r="I57" s="120" t="s">
        <v>522</v>
      </c>
      <c r="J57" s="135" t="s">
        <v>312</v>
      </c>
      <c r="K57" s="135">
        <f>K58+K59+K60+K61</f>
        <v>31.32</v>
      </c>
      <c r="L57" s="135">
        <f>L58+L59+L60+L61</f>
        <v>183</v>
      </c>
      <c r="M57" s="99" t="s">
        <v>298</v>
      </c>
      <c r="N57" s="100" t="s">
        <v>467</v>
      </c>
      <c r="O57" s="99" t="s">
        <v>299</v>
      </c>
      <c r="P57" s="99" t="s">
        <v>300</v>
      </c>
      <c r="Q57" s="99" t="s">
        <v>305</v>
      </c>
      <c r="R57" s="99" t="s">
        <v>302</v>
      </c>
      <c r="S57" s="99"/>
      <c r="T57" s="79"/>
      <c r="U57" s="79"/>
      <c r="V57" s="79"/>
      <c r="W57" s="79"/>
      <c r="X57" s="79"/>
      <c r="Y57" s="79"/>
      <c r="Z57" s="79"/>
      <c r="AA57" s="79"/>
      <c r="AB57" s="79"/>
      <c r="AC57" s="79"/>
      <c r="AD57" s="79"/>
      <c r="AE57" s="79"/>
      <c r="AF57" s="79"/>
      <c r="AG57" s="79"/>
      <c r="AH57" s="79"/>
      <c r="AI57" s="79"/>
      <c r="AJ57" s="79"/>
      <c r="AK57" s="79"/>
      <c r="AL57" s="79"/>
      <c r="AM57" s="79"/>
      <c r="AN57" s="79"/>
      <c r="AO57" s="79"/>
      <c r="AP57" s="79"/>
      <c r="AQ57" s="79"/>
      <c r="AR57" s="79"/>
      <c r="AS57" s="79"/>
      <c r="AT57" s="79"/>
      <c r="AU57" s="79"/>
      <c r="AV57" s="79"/>
      <c r="AW57" s="79"/>
      <c r="AX57" s="79"/>
      <c r="AY57" s="79"/>
      <c r="AZ57" s="79"/>
      <c r="BA57" s="79"/>
      <c r="BB57" s="79"/>
      <c r="BC57" s="79"/>
      <c r="BD57" s="79"/>
      <c r="BE57" s="79"/>
      <c r="BF57" s="79"/>
      <c r="BG57" s="79"/>
      <c r="BH57" s="79"/>
      <c r="BI57" s="79"/>
      <c r="BJ57" s="79"/>
      <c r="BK57" s="79"/>
      <c r="BL57" s="79"/>
      <c r="BM57" s="79"/>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c r="CN57" s="79"/>
      <c r="CO57" s="79"/>
      <c r="CP57" s="79"/>
      <c r="CQ57" s="79"/>
      <c r="CR57" s="79"/>
      <c r="CS57" s="79"/>
      <c r="CT57" s="79"/>
      <c r="CU57" s="79"/>
      <c r="CV57" s="79"/>
      <c r="CW57" s="79"/>
      <c r="CX57" s="79"/>
      <c r="CY57" s="79"/>
      <c r="CZ57" s="79"/>
      <c r="DA57" s="79"/>
      <c r="DB57" s="79"/>
      <c r="DC57" s="79"/>
      <c r="DD57" s="79"/>
      <c r="DE57" s="79"/>
      <c r="DF57" s="79"/>
      <c r="DG57" s="79"/>
      <c r="DH57" s="79"/>
      <c r="DI57" s="79"/>
      <c r="DJ57" s="79"/>
      <c r="DK57" s="79"/>
      <c r="DL57" s="79"/>
      <c r="DM57" s="79"/>
      <c r="DN57" s="79"/>
      <c r="DO57" s="79"/>
      <c r="DP57" s="79"/>
      <c r="DQ57" s="79"/>
      <c r="DR57" s="79"/>
      <c r="DS57" s="79"/>
      <c r="DT57" s="79"/>
      <c r="DU57" s="79"/>
      <c r="DV57" s="79"/>
      <c r="DW57" s="79"/>
      <c r="DX57" s="79"/>
      <c r="DY57" s="79"/>
      <c r="DZ57" s="79"/>
      <c r="EA57" s="79"/>
    </row>
    <row r="58" spans="1:131" s="84" customFormat="1" ht="50.25" customHeight="1" outlineLevel="1">
      <c r="A58" s="119" t="s">
        <v>357</v>
      </c>
      <c r="B58" s="121" t="s">
        <v>9</v>
      </c>
      <c r="C58" s="103" t="s">
        <v>10</v>
      </c>
      <c r="D58" s="108" t="s">
        <v>523</v>
      </c>
      <c r="E58" s="108" t="s">
        <v>524</v>
      </c>
      <c r="F58" s="108" t="s">
        <v>303</v>
      </c>
      <c r="G58" s="108" t="s">
        <v>347</v>
      </c>
      <c r="H58" s="108" t="s">
        <v>410</v>
      </c>
      <c r="I58" s="108" t="s">
        <v>522</v>
      </c>
      <c r="J58" s="136" t="s">
        <v>312</v>
      </c>
      <c r="K58" s="136">
        <f>4*5</f>
        <v>20</v>
      </c>
      <c r="L58" s="136">
        <v>18</v>
      </c>
      <c r="M58" s="102" t="s">
        <v>298</v>
      </c>
      <c r="N58" s="103" t="s">
        <v>467</v>
      </c>
      <c r="O58" s="102" t="s">
        <v>299</v>
      </c>
      <c r="P58" s="102" t="s">
        <v>300</v>
      </c>
      <c r="Q58" s="102" t="s">
        <v>305</v>
      </c>
      <c r="R58" s="102" t="s">
        <v>302</v>
      </c>
      <c r="S58" s="99"/>
      <c r="T58" s="79"/>
      <c r="U58" s="79"/>
      <c r="V58" s="79"/>
      <c r="W58" s="79"/>
      <c r="X58" s="79"/>
      <c r="Y58" s="79"/>
      <c r="Z58" s="79"/>
      <c r="AA58" s="79"/>
      <c r="AB58" s="79"/>
      <c r="AC58" s="79"/>
      <c r="AD58" s="79"/>
      <c r="AE58" s="79"/>
      <c r="AF58" s="79"/>
      <c r="AG58" s="79"/>
      <c r="AH58" s="79"/>
      <c r="AI58" s="79"/>
      <c r="AJ58" s="79"/>
      <c r="AK58" s="79"/>
      <c r="AL58" s="79"/>
      <c r="AM58" s="79"/>
      <c r="AN58" s="79"/>
      <c r="AO58" s="79"/>
      <c r="AP58" s="79"/>
      <c r="AQ58" s="79"/>
      <c r="AR58" s="79"/>
      <c r="AS58" s="79"/>
      <c r="AT58" s="79"/>
      <c r="AU58" s="79"/>
      <c r="AV58" s="79"/>
      <c r="AW58" s="79"/>
      <c r="AX58" s="79"/>
      <c r="AY58" s="79"/>
      <c r="AZ58" s="79"/>
      <c r="BA58" s="79"/>
      <c r="BB58" s="79"/>
      <c r="BC58" s="79"/>
      <c r="BD58" s="79"/>
      <c r="BE58" s="79"/>
      <c r="BF58" s="79"/>
      <c r="BG58" s="79"/>
      <c r="BH58" s="79"/>
      <c r="BI58" s="79"/>
      <c r="BJ58" s="79"/>
      <c r="BK58" s="79"/>
      <c r="BL58" s="79"/>
      <c r="BM58" s="79"/>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c r="CN58" s="79"/>
      <c r="CO58" s="79"/>
      <c r="CP58" s="79"/>
      <c r="CQ58" s="79"/>
      <c r="CR58" s="79"/>
      <c r="CS58" s="79"/>
      <c r="CT58" s="79"/>
      <c r="CU58" s="79"/>
      <c r="CV58" s="79"/>
      <c r="CW58" s="79"/>
      <c r="CX58" s="79"/>
      <c r="CY58" s="79"/>
      <c r="CZ58" s="79"/>
      <c r="DA58" s="79"/>
      <c r="DB58" s="79"/>
      <c r="DC58" s="79"/>
      <c r="DD58" s="79"/>
      <c r="DE58" s="79"/>
      <c r="DF58" s="79"/>
      <c r="DG58" s="79"/>
      <c r="DH58" s="79"/>
      <c r="DI58" s="79"/>
      <c r="DJ58" s="79"/>
      <c r="DK58" s="79"/>
      <c r="DL58" s="79"/>
      <c r="DM58" s="79"/>
      <c r="DN58" s="79"/>
      <c r="DO58" s="79"/>
      <c r="DP58" s="79"/>
      <c r="DQ58" s="79"/>
      <c r="DR58" s="79"/>
      <c r="DS58" s="79"/>
      <c r="DT58" s="79"/>
      <c r="DU58" s="79"/>
      <c r="DV58" s="79"/>
      <c r="DW58" s="79"/>
      <c r="DX58" s="79"/>
      <c r="DY58" s="79"/>
      <c r="DZ58" s="79"/>
      <c r="EA58" s="79"/>
    </row>
    <row r="59" spans="1:131" s="84" customFormat="1" ht="85" outlineLevel="1">
      <c r="A59" s="119" t="s">
        <v>357</v>
      </c>
      <c r="B59" s="121" t="s">
        <v>9</v>
      </c>
      <c r="C59" s="103" t="s">
        <v>10</v>
      </c>
      <c r="D59" s="108" t="s">
        <v>525</v>
      </c>
      <c r="E59" s="108" t="s">
        <v>526</v>
      </c>
      <c r="F59" s="108" t="s">
        <v>303</v>
      </c>
      <c r="G59" s="108" t="s">
        <v>347</v>
      </c>
      <c r="H59" s="108" t="s">
        <v>527</v>
      </c>
      <c r="I59" s="108" t="s">
        <v>528</v>
      </c>
      <c r="J59" s="136" t="s">
        <v>312</v>
      </c>
      <c r="K59" s="137">
        <v>2</v>
      </c>
      <c r="L59" s="137">
        <v>117</v>
      </c>
      <c r="M59" s="102" t="s">
        <v>298</v>
      </c>
      <c r="N59" s="103" t="s">
        <v>467</v>
      </c>
      <c r="O59" s="102" t="s">
        <v>299</v>
      </c>
      <c r="P59" s="102" t="s">
        <v>300</v>
      </c>
      <c r="Q59" s="102" t="s">
        <v>305</v>
      </c>
      <c r="R59" s="102" t="s">
        <v>302</v>
      </c>
      <c r="S59" s="9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c r="AT59" s="79"/>
      <c r="AU59" s="79"/>
      <c r="AV59" s="79"/>
      <c r="AW59" s="79"/>
      <c r="AX59" s="79"/>
      <c r="AY59" s="79"/>
      <c r="AZ59" s="79"/>
      <c r="BA59" s="79"/>
      <c r="BB59" s="79"/>
      <c r="BC59" s="79"/>
      <c r="BD59" s="79"/>
      <c r="BE59" s="79"/>
      <c r="BF59" s="79"/>
      <c r="BG59" s="79"/>
      <c r="BH59" s="79"/>
      <c r="BI59" s="79"/>
      <c r="BJ59" s="79"/>
      <c r="BK59" s="79"/>
      <c r="BL59" s="79"/>
      <c r="BM59" s="79"/>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c r="CN59" s="79"/>
      <c r="CO59" s="79"/>
      <c r="CP59" s="79"/>
      <c r="CQ59" s="79"/>
      <c r="CR59" s="79"/>
      <c r="CS59" s="79"/>
      <c r="CT59" s="79"/>
      <c r="CU59" s="79"/>
      <c r="CV59" s="79"/>
      <c r="CW59" s="79"/>
      <c r="CX59" s="79"/>
      <c r="CY59" s="79"/>
      <c r="CZ59" s="79"/>
      <c r="DA59" s="79"/>
      <c r="DB59" s="79"/>
      <c r="DC59" s="79"/>
      <c r="DD59" s="79"/>
      <c r="DE59" s="79"/>
      <c r="DF59" s="79"/>
      <c r="DG59" s="79"/>
      <c r="DH59" s="79"/>
      <c r="DI59" s="79"/>
      <c r="DJ59" s="79"/>
      <c r="DK59" s="79"/>
      <c r="DL59" s="79"/>
      <c r="DM59" s="79"/>
      <c r="DN59" s="79"/>
      <c r="DO59" s="79"/>
      <c r="DP59" s="79"/>
      <c r="DQ59" s="79"/>
      <c r="DR59" s="79"/>
      <c r="DS59" s="79"/>
      <c r="DT59" s="79"/>
      <c r="DU59" s="79"/>
      <c r="DV59" s="79"/>
      <c r="DW59" s="79"/>
      <c r="DX59" s="79"/>
      <c r="DY59" s="79"/>
      <c r="DZ59" s="79"/>
      <c r="EA59" s="79"/>
    </row>
    <row r="60" spans="1:131" s="84" customFormat="1" ht="33.75" customHeight="1" outlineLevel="1">
      <c r="A60" s="119" t="s">
        <v>357</v>
      </c>
      <c r="B60" s="121" t="s">
        <v>9</v>
      </c>
      <c r="C60" s="103" t="s">
        <v>10</v>
      </c>
      <c r="D60" s="108" t="s">
        <v>529</v>
      </c>
      <c r="E60" s="108" t="s">
        <v>526</v>
      </c>
      <c r="F60" s="108" t="s">
        <v>303</v>
      </c>
      <c r="G60" s="108" t="s">
        <v>347</v>
      </c>
      <c r="H60" s="108" t="s">
        <v>530</v>
      </c>
      <c r="I60" s="108" t="s">
        <v>531</v>
      </c>
      <c r="J60" s="136" t="s">
        <v>312</v>
      </c>
      <c r="K60" s="136">
        <v>4.66</v>
      </c>
      <c r="L60" s="136">
        <v>24</v>
      </c>
      <c r="M60" s="102" t="s">
        <v>308</v>
      </c>
      <c r="N60" s="102"/>
      <c r="O60" s="102" t="s">
        <v>299</v>
      </c>
      <c r="P60" s="102" t="s">
        <v>300</v>
      </c>
      <c r="Q60" s="102" t="s">
        <v>305</v>
      </c>
      <c r="R60" s="102" t="s">
        <v>302</v>
      </c>
      <c r="S60" s="99"/>
      <c r="T60" s="79"/>
      <c r="U60" s="79"/>
      <c r="V60" s="79"/>
      <c r="W60" s="79"/>
      <c r="X60" s="79"/>
      <c r="Y60" s="79"/>
      <c r="Z60" s="79"/>
      <c r="AA60" s="79"/>
      <c r="AB60" s="79"/>
      <c r="AC60" s="79"/>
      <c r="AD60" s="79"/>
      <c r="AE60" s="79"/>
      <c r="AF60" s="79"/>
      <c r="AG60" s="79"/>
      <c r="AH60" s="79"/>
      <c r="AI60" s="79"/>
      <c r="AJ60" s="79"/>
      <c r="AK60" s="79"/>
      <c r="AL60" s="79"/>
      <c r="AM60" s="79"/>
      <c r="AN60" s="79"/>
      <c r="AO60" s="79"/>
      <c r="AP60" s="79"/>
      <c r="AQ60" s="79"/>
      <c r="AR60" s="79"/>
      <c r="AS60" s="79"/>
      <c r="AT60" s="79"/>
      <c r="AU60" s="79"/>
      <c r="AV60" s="79"/>
      <c r="AW60" s="79"/>
      <c r="AX60" s="79"/>
      <c r="AY60" s="79"/>
      <c r="AZ60" s="79"/>
      <c r="BA60" s="79"/>
      <c r="BB60" s="79"/>
      <c r="BC60" s="79"/>
      <c r="BD60" s="79"/>
      <c r="BE60" s="79"/>
      <c r="BF60" s="79"/>
      <c r="BG60" s="79"/>
      <c r="BH60" s="79"/>
      <c r="BI60" s="79"/>
      <c r="BJ60" s="79"/>
      <c r="BK60" s="79"/>
      <c r="BL60" s="79"/>
      <c r="BM60" s="79"/>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c r="CN60" s="79"/>
      <c r="CO60" s="79"/>
      <c r="CP60" s="79"/>
      <c r="CQ60" s="79"/>
      <c r="CR60" s="79"/>
      <c r="CS60" s="79"/>
      <c r="CT60" s="79"/>
      <c r="CU60" s="79"/>
      <c r="CV60" s="79"/>
      <c r="CW60" s="79"/>
      <c r="CX60" s="79"/>
      <c r="CY60" s="79"/>
      <c r="CZ60" s="79"/>
      <c r="DA60" s="79"/>
      <c r="DB60" s="79"/>
      <c r="DC60" s="79"/>
      <c r="DD60" s="79"/>
      <c r="DE60" s="79"/>
      <c r="DF60" s="79"/>
      <c r="DG60" s="79"/>
      <c r="DH60" s="79"/>
      <c r="DI60" s="79"/>
      <c r="DJ60" s="79"/>
      <c r="DK60" s="79"/>
      <c r="DL60" s="79"/>
      <c r="DM60" s="79"/>
      <c r="DN60" s="79"/>
      <c r="DO60" s="79"/>
      <c r="DP60" s="79"/>
      <c r="DQ60" s="79"/>
      <c r="DR60" s="79"/>
      <c r="DS60" s="79"/>
      <c r="DT60" s="79"/>
      <c r="DU60" s="79"/>
      <c r="DV60" s="79"/>
      <c r="DW60" s="79"/>
      <c r="DX60" s="79"/>
      <c r="DY60" s="79"/>
      <c r="DZ60" s="79"/>
      <c r="EA60" s="79"/>
    </row>
    <row r="61" spans="1:131" s="84" customFormat="1" ht="36.75" customHeight="1" outlineLevel="1">
      <c r="A61" s="119" t="s">
        <v>357</v>
      </c>
      <c r="B61" s="121" t="s">
        <v>9</v>
      </c>
      <c r="C61" s="103" t="s">
        <v>10</v>
      </c>
      <c r="D61" s="108" t="s">
        <v>532</v>
      </c>
      <c r="E61" s="108" t="s">
        <v>526</v>
      </c>
      <c r="F61" s="108" t="s">
        <v>303</v>
      </c>
      <c r="G61" s="108" t="s">
        <v>347</v>
      </c>
      <c r="H61" s="108" t="s">
        <v>533</v>
      </c>
      <c r="I61" s="108" t="s">
        <v>534</v>
      </c>
      <c r="J61" s="136" t="s">
        <v>312</v>
      </c>
      <c r="K61" s="136">
        <v>4.66</v>
      </c>
      <c r="L61" s="136">
        <v>24</v>
      </c>
      <c r="M61" s="102" t="s">
        <v>308</v>
      </c>
      <c r="N61" s="102"/>
      <c r="O61" s="102" t="s">
        <v>299</v>
      </c>
      <c r="P61" s="102" t="s">
        <v>300</v>
      </c>
      <c r="Q61" s="102" t="s">
        <v>305</v>
      </c>
      <c r="R61" s="102" t="s">
        <v>302</v>
      </c>
      <c r="S61" s="99"/>
      <c r="T61" s="79"/>
      <c r="U61" s="79"/>
      <c r="V61" s="79"/>
      <c r="W61" s="79"/>
      <c r="X61" s="79"/>
      <c r="Y61" s="79"/>
      <c r="Z61" s="79"/>
      <c r="AA61" s="79"/>
      <c r="AB61" s="79"/>
      <c r="AC61" s="79"/>
      <c r="AD61" s="79"/>
      <c r="AE61" s="79"/>
      <c r="AF61" s="79"/>
      <c r="AG61" s="79"/>
      <c r="AH61" s="79"/>
      <c r="AI61" s="79"/>
      <c r="AJ61" s="79"/>
      <c r="AK61" s="79"/>
      <c r="AL61" s="79"/>
      <c r="AM61" s="79"/>
      <c r="AN61" s="79"/>
      <c r="AO61" s="79"/>
      <c r="AP61" s="79"/>
      <c r="AQ61" s="79"/>
      <c r="AR61" s="79"/>
      <c r="AS61" s="79"/>
      <c r="AT61" s="79"/>
      <c r="AU61" s="79"/>
      <c r="AV61" s="79"/>
      <c r="AW61" s="79"/>
      <c r="AX61" s="79"/>
      <c r="AY61" s="79"/>
      <c r="AZ61" s="79"/>
      <c r="BA61" s="79"/>
      <c r="BB61" s="79"/>
      <c r="BC61" s="79"/>
      <c r="BD61" s="79"/>
      <c r="BE61" s="79"/>
      <c r="BF61" s="79"/>
      <c r="BG61" s="79"/>
      <c r="BH61" s="79"/>
      <c r="BI61" s="79"/>
      <c r="BJ61" s="79"/>
      <c r="BK61" s="79"/>
      <c r="BL61" s="79"/>
      <c r="BM61" s="79"/>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c r="CN61" s="79"/>
      <c r="CO61" s="79"/>
      <c r="CP61" s="79"/>
      <c r="CQ61" s="79"/>
      <c r="CR61" s="79"/>
      <c r="CS61" s="79"/>
      <c r="CT61" s="79"/>
      <c r="CU61" s="79"/>
      <c r="CV61" s="79"/>
      <c r="CW61" s="79"/>
      <c r="CX61" s="79"/>
      <c r="CY61" s="79"/>
      <c r="CZ61" s="79"/>
      <c r="DA61" s="79"/>
      <c r="DB61" s="79"/>
      <c r="DC61" s="79"/>
      <c r="DD61" s="79"/>
      <c r="DE61" s="79"/>
      <c r="DF61" s="79"/>
      <c r="DG61" s="79"/>
      <c r="DH61" s="79"/>
      <c r="DI61" s="79"/>
      <c r="DJ61" s="79"/>
      <c r="DK61" s="79"/>
      <c r="DL61" s="79"/>
      <c r="DM61" s="79"/>
      <c r="DN61" s="79"/>
      <c r="DO61" s="79"/>
      <c r="DP61" s="79"/>
      <c r="DQ61" s="79"/>
      <c r="DR61" s="79"/>
      <c r="DS61" s="79"/>
      <c r="DT61" s="79"/>
      <c r="DU61" s="79"/>
      <c r="DV61" s="79"/>
      <c r="DW61" s="79"/>
      <c r="DX61" s="79"/>
      <c r="DY61" s="79"/>
      <c r="DZ61" s="79"/>
      <c r="EA61" s="79"/>
    </row>
    <row r="62" spans="1:131" s="84" customFormat="1" ht="85" outlineLevel="1">
      <c r="A62" s="119" t="s">
        <v>357</v>
      </c>
      <c r="B62" s="121" t="s">
        <v>9</v>
      </c>
      <c r="C62" s="103" t="s">
        <v>10</v>
      </c>
      <c r="D62" s="108" t="s">
        <v>535</v>
      </c>
      <c r="E62" s="108" t="s">
        <v>526</v>
      </c>
      <c r="F62" s="108" t="s">
        <v>303</v>
      </c>
      <c r="G62" s="108" t="s">
        <v>347</v>
      </c>
      <c r="H62" s="108" t="s">
        <v>536</v>
      </c>
      <c r="I62" s="108" t="s">
        <v>350</v>
      </c>
      <c r="J62" s="136" t="s">
        <v>312</v>
      </c>
      <c r="K62" s="136">
        <v>1.5</v>
      </c>
      <c r="L62" s="136">
        <v>18</v>
      </c>
      <c r="M62" s="102" t="s">
        <v>298</v>
      </c>
      <c r="N62" s="102" t="s">
        <v>537</v>
      </c>
      <c r="O62" s="102" t="s">
        <v>299</v>
      </c>
      <c r="P62" s="102" t="s">
        <v>300</v>
      </c>
      <c r="Q62" s="102" t="s">
        <v>305</v>
      </c>
      <c r="R62" s="102" t="s">
        <v>302</v>
      </c>
      <c r="S62" s="99"/>
      <c r="T62" s="79"/>
      <c r="U62" s="79"/>
      <c r="V62" s="79"/>
      <c r="W62" s="79"/>
      <c r="X62" s="79"/>
      <c r="Y62" s="79"/>
      <c r="Z62" s="79"/>
      <c r="AA62" s="79"/>
      <c r="AB62" s="79"/>
      <c r="AC62" s="79"/>
      <c r="AD62" s="79"/>
      <c r="AE62" s="79"/>
      <c r="AF62" s="79"/>
      <c r="AG62" s="79"/>
      <c r="AH62" s="79"/>
      <c r="AI62" s="79"/>
      <c r="AJ62" s="79"/>
      <c r="AK62" s="79"/>
      <c r="AL62" s="79"/>
      <c r="AM62" s="79"/>
      <c r="AN62" s="79"/>
      <c r="AO62" s="79"/>
      <c r="AP62" s="79"/>
      <c r="AQ62" s="79"/>
      <c r="AR62" s="79"/>
      <c r="AS62" s="79"/>
      <c r="AT62" s="79"/>
      <c r="AU62" s="79"/>
      <c r="AV62" s="79"/>
      <c r="AW62" s="79"/>
      <c r="AX62" s="79"/>
      <c r="AY62" s="79"/>
      <c r="AZ62" s="79"/>
      <c r="BA62" s="79"/>
      <c r="BB62" s="79"/>
      <c r="BC62" s="79"/>
      <c r="BD62" s="79"/>
      <c r="BE62" s="79"/>
      <c r="BF62" s="79"/>
      <c r="BG62" s="79"/>
      <c r="BH62" s="79"/>
      <c r="BI62" s="79"/>
      <c r="BJ62" s="79"/>
      <c r="BK62" s="79"/>
      <c r="BL62" s="79"/>
      <c r="BM62" s="79"/>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c r="CN62" s="79"/>
      <c r="CO62" s="79"/>
      <c r="CP62" s="79"/>
      <c r="CQ62" s="79"/>
      <c r="CR62" s="79"/>
      <c r="CS62" s="79"/>
      <c r="CT62" s="79"/>
      <c r="CU62" s="79"/>
      <c r="CV62" s="79"/>
      <c r="CW62" s="79"/>
      <c r="CX62" s="79"/>
      <c r="CY62" s="79"/>
      <c r="CZ62" s="79"/>
      <c r="DA62" s="79"/>
      <c r="DB62" s="79"/>
      <c r="DC62" s="79"/>
      <c r="DD62" s="79"/>
      <c r="DE62" s="79"/>
      <c r="DF62" s="79"/>
      <c r="DG62" s="79"/>
      <c r="DH62" s="79"/>
      <c r="DI62" s="79"/>
      <c r="DJ62" s="79"/>
      <c r="DK62" s="79"/>
      <c r="DL62" s="79"/>
      <c r="DM62" s="79"/>
      <c r="DN62" s="79"/>
      <c r="DO62" s="79"/>
      <c r="DP62" s="79"/>
      <c r="DQ62" s="79"/>
      <c r="DR62" s="79"/>
      <c r="DS62" s="79"/>
      <c r="DT62" s="79"/>
      <c r="DU62" s="79"/>
      <c r="DV62" s="79"/>
      <c r="DW62" s="79"/>
      <c r="DX62" s="79"/>
      <c r="DY62" s="79"/>
      <c r="DZ62" s="79"/>
      <c r="EA62" s="79"/>
    </row>
    <row r="63" spans="1:131" s="84" customFormat="1" ht="102" outlineLevel="1">
      <c r="A63" s="122" t="s">
        <v>357</v>
      </c>
      <c r="B63" s="121" t="s">
        <v>9</v>
      </c>
      <c r="C63" s="103" t="s">
        <v>10</v>
      </c>
      <c r="D63" s="123" t="s">
        <v>538</v>
      </c>
      <c r="E63" s="108" t="s">
        <v>526</v>
      </c>
      <c r="F63" s="124" t="s">
        <v>303</v>
      </c>
      <c r="G63" s="123" t="s">
        <v>347</v>
      </c>
      <c r="H63" s="123" t="s">
        <v>539</v>
      </c>
      <c r="I63" s="123" t="s">
        <v>540</v>
      </c>
      <c r="J63" s="136" t="s">
        <v>312</v>
      </c>
      <c r="K63" s="138">
        <v>0.5</v>
      </c>
      <c r="L63" s="138">
        <v>1440</v>
      </c>
      <c r="M63" s="102" t="s">
        <v>298</v>
      </c>
      <c r="N63" s="103" t="s">
        <v>541</v>
      </c>
      <c r="O63" s="102" t="s">
        <v>299</v>
      </c>
      <c r="P63" s="102" t="s">
        <v>300</v>
      </c>
      <c r="Q63" s="102" t="s">
        <v>305</v>
      </c>
      <c r="R63" s="102" t="s">
        <v>302</v>
      </c>
      <c r="S63" s="99"/>
      <c r="T63" s="79"/>
      <c r="U63" s="79"/>
      <c r="V63" s="79"/>
      <c r="W63" s="79"/>
      <c r="X63" s="79"/>
      <c r="Y63" s="79"/>
      <c r="Z63" s="79"/>
      <c r="AA63" s="79"/>
      <c r="AB63" s="79"/>
      <c r="AC63" s="79"/>
      <c r="AD63" s="79"/>
      <c r="AE63" s="79"/>
      <c r="AF63" s="79"/>
      <c r="AG63" s="79"/>
      <c r="AH63" s="79"/>
      <c r="AI63" s="79"/>
      <c r="AJ63" s="79"/>
      <c r="AK63" s="79"/>
      <c r="AL63" s="79"/>
      <c r="AM63" s="79"/>
      <c r="AN63" s="79"/>
      <c r="AO63" s="79"/>
      <c r="AP63" s="79"/>
      <c r="AQ63" s="79"/>
      <c r="AR63" s="79"/>
      <c r="AS63" s="79"/>
      <c r="AT63" s="79"/>
      <c r="AU63" s="79"/>
      <c r="AV63" s="79"/>
      <c r="AW63" s="79"/>
      <c r="AX63" s="79"/>
      <c r="AY63" s="79"/>
      <c r="AZ63" s="79"/>
      <c r="BA63" s="79"/>
      <c r="BB63" s="79"/>
      <c r="BC63" s="79"/>
      <c r="BD63" s="79"/>
      <c r="BE63" s="79"/>
      <c r="BF63" s="79"/>
      <c r="BG63" s="79"/>
      <c r="BH63" s="79"/>
      <c r="BI63" s="79"/>
      <c r="BJ63" s="79"/>
      <c r="BK63" s="79"/>
      <c r="BL63" s="79"/>
      <c r="BM63" s="79"/>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c r="CN63" s="79"/>
      <c r="CO63" s="79"/>
      <c r="CP63" s="79"/>
      <c r="CQ63" s="79"/>
      <c r="CR63" s="79"/>
      <c r="CS63" s="79"/>
      <c r="CT63" s="79"/>
      <c r="CU63" s="79"/>
      <c r="CV63" s="79"/>
      <c r="CW63" s="79"/>
      <c r="CX63" s="79"/>
      <c r="CY63" s="79"/>
      <c r="CZ63" s="79"/>
      <c r="DA63" s="79"/>
      <c r="DB63" s="79"/>
      <c r="DC63" s="79"/>
      <c r="DD63" s="79"/>
      <c r="DE63" s="79"/>
      <c r="DF63" s="79"/>
      <c r="DG63" s="79"/>
      <c r="DH63" s="79"/>
      <c r="DI63" s="79"/>
      <c r="DJ63" s="79"/>
      <c r="DK63" s="79"/>
      <c r="DL63" s="79"/>
      <c r="DM63" s="79"/>
      <c r="DN63" s="79"/>
      <c r="DO63" s="79"/>
      <c r="DP63" s="79"/>
      <c r="DQ63" s="79"/>
      <c r="DR63" s="79"/>
      <c r="DS63" s="79"/>
      <c r="DT63" s="79"/>
      <c r="DU63" s="79"/>
      <c r="DV63" s="79"/>
      <c r="DW63" s="79"/>
      <c r="DX63" s="79"/>
      <c r="DY63" s="79"/>
      <c r="DZ63" s="79"/>
      <c r="EA63" s="79"/>
    </row>
    <row r="64" spans="1:131" s="84" customFormat="1" ht="54" customHeight="1" outlineLevel="1">
      <c r="A64" s="122" t="s">
        <v>357</v>
      </c>
      <c r="B64" s="121" t="s">
        <v>9</v>
      </c>
      <c r="C64" s="103" t="s">
        <v>10</v>
      </c>
      <c r="D64" s="123" t="s">
        <v>542</v>
      </c>
      <c r="E64" s="123" t="s">
        <v>543</v>
      </c>
      <c r="F64" s="124" t="s">
        <v>303</v>
      </c>
      <c r="G64" s="123" t="s">
        <v>347</v>
      </c>
      <c r="H64" s="123" t="s">
        <v>539</v>
      </c>
      <c r="I64" s="123" t="s">
        <v>544</v>
      </c>
      <c r="J64" s="136" t="s">
        <v>312</v>
      </c>
      <c r="K64" s="138">
        <v>1</v>
      </c>
      <c r="L64" s="138">
        <v>360</v>
      </c>
      <c r="M64" s="102" t="s">
        <v>298</v>
      </c>
      <c r="N64" s="103" t="s">
        <v>467</v>
      </c>
      <c r="O64" s="102" t="s">
        <v>299</v>
      </c>
      <c r="P64" s="102" t="s">
        <v>300</v>
      </c>
      <c r="Q64" s="102" t="s">
        <v>305</v>
      </c>
      <c r="R64" s="102" t="s">
        <v>302</v>
      </c>
      <c r="S64" s="99"/>
      <c r="T64" s="79"/>
      <c r="U64" s="79"/>
      <c r="V64" s="79"/>
      <c r="W64" s="79"/>
      <c r="X64" s="79"/>
      <c r="Y64" s="79"/>
      <c r="Z64" s="79"/>
      <c r="AA64" s="79"/>
      <c r="AB64" s="79"/>
      <c r="AC64" s="79"/>
      <c r="AD64" s="79"/>
      <c r="AE64" s="79"/>
      <c r="AF64" s="79"/>
      <c r="AG64" s="79"/>
      <c r="AH64" s="79"/>
      <c r="AI64" s="79"/>
      <c r="AJ64" s="79"/>
      <c r="AK64" s="79"/>
      <c r="AL64" s="79"/>
      <c r="AM64" s="79"/>
      <c r="AN64" s="79"/>
      <c r="AO64" s="79"/>
      <c r="AP64" s="79"/>
      <c r="AQ64" s="79"/>
      <c r="AR64" s="79"/>
      <c r="AS64" s="79"/>
      <c r="AT64" s="79"/>
      <c r="AU64" s="79"/>
      <c r="AV64" s="79"/>
      <c r="AW64" s="79"/>
      <c r="AX64" s="79"/>
      <c r="AY64" s="79"/>
      <c r="AZ64" s="79"/>
      <c r="BA64" s="79"/>
      <c r="BB64" s="79"/>
      <c r="BC64" s="79"/>
      <c r="BD64" s="79"/>
      <c r="BE64" s="79"/>
      <c r="BF64" s="79"/>
      <c r="BG64" s="79"/>
      <c r="BH64" s="79"/>
      <c r="BI64" s="79"/>
      <c r="BJ64" s="79"/>
      <c r="BK64" s="79"/>
      <c r="BL64" s="79"/>
      <c r="BM64" s="79"/>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c r="CN64" s="79"/>
      <c r="CO64" s="79"/>
      <c r="CP64" s="79"/>
      <c r="CQ64" s="79"/>
      <c r="CR64" s="79"/>
      <c r="CS64" s="79"/>
      <c r="CT64" s="79"/>
      <c r="CU64" s="79"/>
      <c r="CV64" s="79"/>
      <c r="CW64" s="79"/>
      <c r="CX64" s="79"/>
      <c r="CY64" s="79"/>
      <c r="CZ64" s="79"/>
      <c r="DA64" s="79"/>
      <c r="DB64" s="79"/>
      <c r="DC64" s="79"/>
      <c r="DD64" s="79"/>
      <c r="DE64" s="79"/>
      <c r="DF64" s="79"/>
      <c r="DG64" s="79"/>
      <c r="DH64" s="79"/>
      <c r="DI64" s="79"/>
      <c r="DJ64" s="79"/>
      <c r="DK64" s="79"/>
      <c r="DL64" s="79"/>
      <c r="DM64" s="79"/>
      <c r="DN64" s="79"/>
      <c r="DO64" s="79"/>
      <c r="DP64" s="79"/>
      <c r="DQ64" s="79"/>
      <c r="DR64" s="79"/>
      <c r="DS64" s="79"/>
      <c r="DT64" s="79"/>
      <c r="DU64" s="79"/>
      <c r="DV64" s="79"/>
      <c r="DW64" s="79"/>
      <c r="DX64" s="79"/>
      <c r="DY64" s="79"/>
      <c r="DZ64" s="79"/>
      <c r="EA64" s="79"/>
    </row>
    <row r="65" spans="1:131" s="84" customFormat="1" ht="102" outlineLevel="1">
      <c r="A65" s="119" t="s">
        <v>357</v>
      </c>
      <c r="B65" s="121" t="s">
        <v>9</v>
      </c>
      <c r="C65" s="103" t="s">
        <v>10</v>
      </c>
      <c r="D65" s="139" t="s">
        <v>545</v>
      </c>
      <c r="E65" s="139" t="s">
        <v>307</v>
      </c>
      <c r="F65" s="108" t="s">
        <v>303</v>
      </c>
      <c r="G65" s="139" t="s">
        <v>347</v>
      </c>
      <c r="H65" s="139" t="s">
        <v>546</v>
      </c>
      <c r="I65" s="139" t="s">
        <v>547</v>
      </c>
      <c r="J65" s="136" t="s">
        <v>312</v>
      </c>
      <c r="K65" s="171">
        <v>2.5</v>
      </c>
      <c r="L65" s="171">
        <v>18</v>
      </c>
      <c r="M65" s="102" t="s">
        <v>298</v>
      </c>
      <c r="N65" s="103" t="s">
        <v>467</v>
      </c>
      <c r="O65" s="102" t="s">
        <v>299</v>
      </c>
      <c r="P65" s="102" t="s">
        <v>300</v>
      </c>
      <c r="Q65" s="102" t="s">
        <v>305</v>
      </c>
      <c r="R65" s="102" t="s">
        <v>302</v>
      </c>
      <c r="S65" s="99"/>
      <c r="T65" s="79"/>
      <c r="U65" s="79"/>
      <c r="V65" s="79"/>
      <c r="W65" s="79"/>
      <c r="X65" s="79"/>
      <c r="Y65" s="79"/>
      <c r="Z65" s="79"/>
      <c r="AA65" s="79"/>
      <c r="AB65" s="79"/>
      <c r="AC65" s="79"/>
      <c r="AD65" s="79"/>
      <c r="AE65" s="79"/>
      <c r="AF65" s="79"/>
      <c r="AG65" s="79"/>
      <c r="AH65" s="79"/>
      <c r="AI65" s="79"/>
      <c r="AJ65" s="79"/>
      <c r="AK65" s="79"/>
      <c r="AL65" s="79"/>
      <c r="AM65" s="79"/>
      <c r="AN65" s="79"/>
      <c r="AO65" s="79"/>
      <c r="AP65" s="79"/>
      <c r="AQ65" s="79"/>
      <c r="AR65" s="79"/>
      <c r="AS65" s="79"/>
      <c r="AT65" s="79"/>
      <c r="AU65" s="79"/>
      <c r="AV65" s="79"/>
      <c r="AW65" s="79"/>
      <c r="AX65" s="79"/>
      <c r="AY65" s="79"/>
      <c r="AZ65" s="79"/>
      <c r="BA65" s="79"/>
      <c r="BB65" s="79"/>
      <c r="BC65" s="79"/>
      <c r="BD65" s="79"/>
      <c r="BE65" s="79"/>
      <c r="BF65" s="79"/>
      <c r="BG65" s="79"/>
      <c r="BH65" s="79"/>
      <c r="BI65" s="79"/>
      <c r="BJ65" s="79"/>
      <c r="BK65" s="79"/>
      <c r="BL65" s="79"/>
      <c r="BM65" s="79"/>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c r="CN65" s="79"/>
      <c r="CO65" s="79"/>
      <c r="CP65" s="79"/>
      <c r="CQ65" s="79"/>
      <c r="CR65" s="79"/>
      <c r="CS65" s="79"/>
      <c r="CT65" s="79"/>
      <c r="CU65" s="79"/>
      <c r="CV65" s="79"/>
      <c r="CW65" s="79"/>
      <c r="CX65" s="79"/>
      <c r="CY65" s="79"/>
      <c r="CZ65" s="79"/>
      <c r="DA65" s="79"/>
      <c r="DB65" s="79"/>
      <c r="DC65" s="79"/>
      <c r="DD65" s="79"/>
      <c r="DE65" s="79"/>
      <c r="DF65" s="79"/>
      <c r="DG65" s="79"/>
      <c r="DH65" s="79"/>
      <c r="DI65" s="79"/>
      <c r="DJ65" s="79"/>
      <c r="DK65" s="79"/>
      <c r="DL65" s="79"/>
      <c r="DM65" s="79"/>
      <c r="DN65" s="79"/>
      <c r="DO65" s="79"/>
      <c r="DP65" s="79"/>
      <c r="DQ65" s="79"/>
      <c r="DR65" s="79"/>
      <c r="DS65" s="79"/>
      <c r="DT65" s="79"/>
      <c r="DU65" s="79"/>
      <c r="DV65" s="79"/>
      <c r="DW65" s="79"/>
      <c r="DX65" s="79"/>
      <c r="DY65" s="79"/>
      <c r="DZ65" s="79"/>
      <c r="EA65" s="79"/>
    </row>
    <row r="66" spans="1:131" s="84" customFormat="1" ht="48.75" customHeight="1" outlineLevel="1">
      <c r="A66" s="119" t="s">
        <v>357</v>
      </c>
      <c r="B66" s="121" t="s">
        <v>9</v>
      </c>
      <c r="C66" s="103" t="s">
        <v>10</v>
      </c>
      <c r="D66" s="139" t="s">
        <v>548</v>
      </c>
      <c r="E66" s="108" t="s">
        <v>526</v>
      </c>
      <c r="F66" s="108" t="s">
        <v>303</v>
      </c>
      <c r="G66" s="139" t="s">
        <v>347</v>
      </c>
      <c r="H66" s="139" t="s">
        <v>549</v>
      </c>
      <c r="I66" s="139" t="s">
        <v>306</v>
      </c>
      <c r="J66" s="136" t="s">
        <v>312</v>
      </c>
      <c r="K66" s="171">
        <v>3</v>
      </c>
      <c r="L66" s="171">
        <v>52</v>
      </c>
      <c r="M66" s="102" t="s">
        <v>298</v>
      </c>
      <c r="N66" s="103" t="s">
        <v>467</v>
      </c>
      <c r="O66" s="102" t="s">
        <v>299</v>
      </c>
      <c r="P66" s="102" t="s">
        <v>300</v>
      </c>
      <c r="Q66" s="102" t="s">
        <v>305</v>
      </c>
      <c r="R66" s="102" t="s">
        <v>302</v>
      </c>
      <c r="S66" s="99"/>
      <c r="T66" s="79"/>
      <c r="U66" s="79"/>
      <c r="V66" s="79"/>
      <c r="W66" s="79"/>
      <c r="X66" s="79"/>
      <c r="Y66" s="79"/>
      <c r="Z66" s="79"/>
      <c r="AA66" s="79"/>
      <c r="AB66" s="79"/>
      <c r="AC66" s="79"/>
      <c r="AD66" s="79"/>
      <c r="AE66" s="79"/>
      <c r="AF66" s="79"/>
      <c r="AG66" s="79"/>
      <c r="AH66" s="79"/>
      <c r="AI66" s="79"/>
      <c r="AJ66" s="79"/>
      <c r="AK66" s="79"/>
      <c r="AL66" s="79"/>
      <c r="AM66" s="79"/>
      <c r="AN66" s="79"/>
      <c r="AO66" s="79"/>
      <c r="AP66" s="79"/>
      <c r="AQ66" s="79"/>
      <c r="AR66" s="79"/>
      <c r="AS66" s="79"/>
      <c r="AT66" s="79"/>
      <c r="AU66" s="79"/>
      <c r="AV66" s="79"/>
      <c r="AW66" s="79"/>
      <c r="AX66" s="79"/>
      <c r="AY66" s="79"/>
      <c r="AZ66" s="79"/>
      <c r="BA66" s="79"/>
      <c r="BB66" s="79"/>
      <c r="BC66" s="79"/>
      <c r="BD66" s="79"/>
      <c r="BE66" s="79"/>
      <c r="BF66" s="79"/>
      <c r="BG66" s="79"/>
      <c r="BH66" s="79"/>
      <c r="BI66" s="79"/>
      <c r="BJ66" s="79"/>
      <c r="BK66" s="79"/>
      <c r="BL66" s="79"/>
      <c r="BM66" s="79"/>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c r="CN66" s="79"/>
      <c r="CO66" s="79"/>
      <c r="CP66" s="79"/>
      <c r="CQ66" s="79"/>
      <c r="CR66" s="79"/>
      <c r="CS66" s="79"/>
      <c r="CT66" s="79"/>
      <c r="CU66" s="79"/>
      <c r="CV66" s="79"/>
      <c r="CW66" s="79"/>
      <c r="CX66" s="79"/>
      <c r="CY66" s="79"/>
      <c r="CZ66" s="79"/>
      <c r="DA66" s="79"/>
      <c r="DB66" s="79"/>
      <c r="DC66" s="79"/>
      <c r="DD66" s="79"/>
      <c r="DE66" s="79"/>
      <c r="DF66" s="79"/>
      <c r="DG66" s="79"/>
      <c r="DH66" s="79"/>
      <c r="DI66" s="79"/>
      <c r="DJ66" s="79"/>
      <c r="DK66" s="79"/>
      <c r="DL66" s="79"/>
      <c r="DM66" s="79"/>
      <c r="DN66" s="79"/>
      <c r="DO66" s="79"/>
      <c r="DP66" s="79"/>
      <c r="DQ66" s="79"/>
      <c r="DR66" s="79"/>
      <c r="DS66" s="79"/>
      <c r="DT66" s="79"/>
      <c r="DU66" s="79"/>
      <c r="DV66" s="79"/>
      <c r="DW66" s="79"/>
      <c r="DX66" s="79"/>
      <c r="DY66" s="79"/>
      <c r="DZ66" s="79"/>
      <c r="EA66" s="79"/>
    </row>
    <row r="67" spans="1:131" s="84" customFormat="1" ht="85" outlineLevel="1">
      <c r="A67" s="140" t="s">
        <v>357</v>
      </c>
      <c r="B67" s="121" t="s">
        <v>9</v>
      </c>
      <c r="C67" s="103" t="s">
        <v>10</v>
      </c>
      <c r="D67" s="141" t="s">
        <v>550</v>
      </c>
      <c r="E67" s="141" t="s">
        <v>551</v>
      </c>
      <c r="F67" s="142" t="s">
        <v>303</v>
      </c>
      <c r="G67" s="141" t="s">
        <v>552</v>
      </c>
      <c r="H67" s="141" t="s">
        <v>553</v>
      </c>
      <c r="I67" s="141" t="s">
        <v>306</v>
      </c>
      <c r="J67" s="136" t="s">
        <v>312</v>
      </c>
      <c r="K67" s="172">
        <v>0.5</v>
      </c>
      <c r="L67" s="172">
        <v>4</v>
      </c>
      <c r="M67" s="102" t="s">
        <v>298</v>
      </c>
      <c r="N67" s="103" t="s">
        <v>554</v>
      </c>
      <c r="O67" s="102" t="s">
        <v>299</v>
      </c>
      <c r="P67" s="102" t="s">
        <v>300</v>
      </c>
      <c r="Q67" s="102" t="s">
        <v>305</v>
      </c>
      <c r="R67" s="102" t="s">
        <v>302</v>
      </c>
      <c r="S67" s="99"/>
      <c r="T67" s="79"/>
      <c r="U67" s="79"/>
      <c r="V67" s="79"/>
      <c r="W67" s="79"/>
      <c r="X67" s="79"/>
      <c r="Y67" s="79"/>
      <c r="Z67" s="79"/>
      <c r="AA67" s="79"/>
      <c r="AB67" s="79"/>
      <c r="AC67" s="79"/>
      <c r="AD67" s="79"/>
      <c r="AE67" s="79"/>
      <c r="AF67" s="79"/>
      <c r="AG67" s="79"/>
      <c r="AH67" s="79"/>
      <c r="AI67" s="79"/>
      <c r="AJ67" s="79"/>
      <c r="AK67" s="79"/>
      <c r="AL67" s="79"/>
      <c r="AM67" s="79"/>
      <c r="AN67" s="79"/>
      <c r="AO67" s="79"/>
      <c r="AP67" s="79"/>
      <c r="AQ67" s="79"/>
      <c r="AR67" s="79"/>
      <c r="AS67" s="79"/>
      <c r="AT67" s="79"/>
      <c r="AU67" s="79"/>
      <c r="AV67" s="79"/>
      <c r="AW67" s="79"/>
      <c r="AX67" s="79"/>
      <c r="AY67" s="79"/>
      <c r="AZ67" s="79"/>
      <c r="BA67" s="79"/>
      <c r="BB67" s="79"/>
      <c r="BC67" s="79"/>
      <c r="BD67" s="79"/>
      <c r="BE67" s="79"/>
      <c r="BF67" s="79"/>
      <c r="BG67" s="79"/>
      <c r="BH67" s="79"/>
      <c r="BI67" s="79"/>
      <c r="BJ67" s="79"/>
      <c r="BK67" s="79"/>
      <c r="BL67" s="79"/>
      <c r="BM67" s="79"/>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c r="CN67" s="79"/>
      <c r="CO67" s="79"/>
      <c r="CP67" s="79"/>
      <c r="CQ67" s="79"/>
      <c r="CR67" s="79"/>
      <c r="CS67" s="79"/>
      <c r="CT67" s="79"/>
      <c r="CU67" s="79"/>
      <c r="CV67" s="79"/>
      <c r="CW67" s="79"/>
      <c r="CX67" s="79"/>
      <c r="CY67" s="79"/>
      <c r="CZ67" s="79"/>
      <c r="DA67" s="79"/>
      <c r="DB67" s="79"/>
      <c r="DC67" s="79"/>
      <c r="DD67" s="79"/>
      <c r="DE67" s="79"/>
      <c r="DF67" s="79"/>
      <c r="DG67" s="79"/>
      <c r="DH67" s="79"/>
      <c r="DI67" s="79"/>
      <c r="DJ67" s="79"/>
      <c r="DK67" s="79"/>
      <c r="DL67" s="79"/>
      <c r="DM67" s="79"/>
      <c r="DN67" s="79"/>
      <c r="DO67" s="79"/>
      <c r="DP67" s="79"/>
      <c r="DQ67" s="79"/>
      <c r="DR67" s="79"/>
      <c r="DS67" s="79"/>
      <c r="DT67" s="79"/>
      <c r="DU67" s="79"/>
      <c r="DV67" s="79"/>
      <c r="DW67" s="79"/>
      <c r="DX67" s="79"/>
      <c r="DY67" s="79"/>
      <c r="DZ67" s="79"/>
      <c r="EA67" s="79"/>
    </row>
    <row r="68" spans="1:131" s="84" customFormat="1" ht="119" outlineLevel="1">
      <c r="A68" s="119" t="s">
        <v>357</v>
      </c>
      <c r="B68" s="121" t="s">
        <v>9</v>
      </c>
      <c r="C68" s="103" t="s">
        <v>10</v>
      </c>
      <c r="D68" s="139" t="s">
        <v>555</v>
      </c>
      <c r="E68" s="139" t="s">
        <v>307</v>
      </c>
      <c r="F68" s="108" t="s">
        <v>303</v>
      </c>
      <c r="G68" s="139" t="s">
        <v>347</v>
      </c>
      <c r="H68" s="139" t="s">
        <v>556</v>
      </c>
      <c r="I68" s="139" t="s">
        <v>306</v>
      </c>
      <c r="J68" s="136" t="s">
        <v>312</v>
      </c>
      <c r="K68" s="171">
        <v>2.5</v>
      </c>
      <c r="L68" s="171">
        <v>8</v>
      </c>
      <c r="M68" s="102" t="s">
        <v>298</v>
      </c>
      <c r="N68" s="103" t="s">
        <v>467</v>
      </c>
      <c r="O68" s="102" t="s">
        <v>299</v>
      </c>
      <c r="P68" s="102" t="s">
        <v>300</v>
      </c>
      <c r="Q68" s="102" t="s">
        <v>305</v>
      </c>
      <c r="R68" s="102" t="s">
        <v>302</v>
      </c>
      <c r="S68" s="99"/>
      <c r="T68" s="79"/>
      <c r="U68" s="79"/>
      <c r="V68" s="79"/>
      <c r="W68" s="79"/>
      <c r="X68" s="79"/>
      <c r="Y68" s="79"/>
      <c r="Z68" s="79"/>
      <c r="AA68" s="79"/>
      <c r="AB68" s="79"/>
      <c r="AC68" s="79"/>
      <c r="AD68" s="79"/>
      <c r="AE68" s="79"/>
      <c r="AF68" s="79"/>
      <c r="AG68" s="79"/>
      <c r="AH68" s="79"/>
      <c r="AI68" s="79"/>
      <c r="AJ68" s="79"/>
      <c r="AK68" s="79"/>
      <c r="AL68" s="79"/>
      <c r="AM68" s="79"/>
      <c r="AN68" s="79"/>
      <c r="AO68" s="79"/>
      <c r="AP68" s="79"/>
      <c r="AQ68" s="79"/>
      <c r="AR68" s="79"/>
      <c r="AS68" s="79"/>
      <c r="AT68" s="79"/>
      <c r="AU68" s="79"/>
      <c r="AV68" s="79"/>
      <c r="AW68" s="79"/>
      <c r="AX68" s="79"/>
      <c r="AY68" s="79"/>
      <c r="AZ68" s="79"/>
      <c r="BA68" s="79"/>
      <c r="BB68" s="79"/>
      <c r="BC68" s="79"/>
      <c r="BD68" s="79"/>
      <c r="BE68" s="79"/>
      <c r="BF68" s="79"/>
      <c r="BG68" s="79"/>
      <c r="BH68" s="79"/>
      <c r="BI68" s="79"/>
      <c r="BJ68" s="79"/>
      <c r="BK68" s="79"/>
      <c r="BL68" s="79"/>
      <c r="BM68" s="79"/>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c r="CN68" s="79"/>
      <c r="CO68" s="79"/>
      <c r="CP68" s="79"/>
      <c r="CQ68" s="79"/>
      <c r="CR68" s="79"/>
      <c r="CS68" s="79"/>
      <c r="CT68" s="79"/>
      <c r="CU68" s="79"/>
      <c r="CV68" s="79"/>
      <c r="CW68" s="79"/>
      <c r="CX68" s="79"/>
      <c r="CY68" s="79"/>
      <c r="CZ68" s="79"/>
      <c r="DA68" s="79"/>
      <c r="DB68" s="79"/>
      <c r="DC68" s="79"/>
      <c r="DD68" s="79"/>
      <c r="DE68" s="79"/>
      <c r="DF68" s="79"/>
      <c r="DG68" s="79"/>
      <c r="DH68" s="79"/>
      <c r="DI68" s="79"/>
      <c r="DJ68" s="79"/>
      <c r="DK68" s="79"/>
      <c r="DL68" s="79"/>
      <c r="DM68" s="79"/>
      <c r="DN68" s="79"/>
      <c r="DO68" s="79"/>
      <c r="DP68" s="79"/>
      <c r="DQ68" s="79"/>
      <c r="DR68" s="79"/>
      <c r="DS68" s="79"/>
      <c r="DT68" s="79"/>
      <c r="DU68" s="79"/>
      <c r="DV68" s="79"/>
      <c r="DW68" s="79"/>
      <c r="DX68" s="79"/>
      <c r="DY68" s="79"/>
      <c r="DZ68" s="79"/>
      <c r="EA68" s="79"/>
    </row>
    <row r="69" spans="1:131" s="84" customFormat="1" ht="51" outlineLevel="1">
      <c r="A69" s="119" t="s">
        <v>357</v>
      </c>
      <c r="B69" s="121" t="s">
        <v>9</v>
      </c>
      <c r="C69" s="103" t="s">
        <v>10</v>
      </c>
      <c r="D69" s="139" t="s">
        <v>557</v>
      </c>
      <c r="E69" s="139" t="s">
        <v>307</v>
      </c>
      <c r="F69" s="108" t="s">
        <v>303</v>
      </c>
      <c r="G69" s="139" t="s">
        <v>347</v>
      </c>
      <c r="H69" s="139" t="s">
        <v>355</v>
      </c>
      <c r="I69" s="139" t="s">
        <v>306</v>
      </c>
      <c r="J69" s="136" t="s">
        <v>312</v>
      </c>
      <c r="K69" s="171">
        <v>18</v>
      </c>
      <c r="L69" s="171">
        <v>18</v>
      </c>
      <c r="M69" s="102" t="s">
        <v>298</v>
      </c>
      <c r="N69" s="103" t="s">
        <v>467</v>
      </c>
      <c r="O69" s="102" t="s">
        <v>299</v>
      </c>
      <c r="P69" s="102" t="s">
        <v>300</v>
      </c>
      <c r="Q69" s="102" t="s">
        <v>305</v>
      </c>
      <c r="R69" s="102" t="s">
        <v>302</v>
      </c>
      <c r="S69" s="99"/>
      <c r="T69" s="79"/>
      <c r="U69" s="79"/>
      <c r="V69" s="79"/>
      <c r="W69" s="79"/>
      <c r="X69" s="79"/>
      <c r="Y69" s="79"/>
      <c r="Z69" s="79"/>
      <c r="AA69" s="79"/>
      <c r="AB69" s="79"/>
      <c r="AC69" s="79"/>
      <c r="AD69" s="79"/>
      <c r="AE69" s="79"/>
      <c r="AF69" s="79"/>
      <c r="AG69" s="79"/>
      <c r="AH69" s="79"/>
      <c r="AI69" s="79"/>
      <c r="AJ69" s="79"/>
      <c r="AK69" s="79"/>
      <c r="AL69" s="79"/>
      <c r="AM69" s="79"/>
      <c r="AN69" s="79"/>
      <c r="AO69" s="79"/>
      <c r="AP69" s="79"/>
      <c r="AQ69" s="79"/>
      <c r="AR69" s="79"/>
      <c r="AS69" s="79"/>
      <c r="AT69" s="79"/>
      <c r="AU69" s="79"/>
      <c r="AV69" s="79"/>
      <c r="AW69" s="79"/>
      <c r="AX69" s="79"/>
      <c r="AY69" s="79"/>
      <c r="AZ69" s="79"/>
      <c r="BA69" s="79"/>
      <c r="BB69" s="79"/>
      <c r="BC69" s="79"/>
      <c r="BD69" s="79"/>
      <c r="BE69" s="79"/>
      <c r="BF69" s="79"/>
      <c r="BG69" s="79"/>
      <c r="BH69" s="79"/>
      <c r="BI69" s="79"/>
      <c r="BJ69" s="79"/>
      <c r="BK69" s="79"/>
      <c r="BL69" s="79"/>
      <c r="BM69" s="79"/>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c r="CN69" s="79"/>
      <c r="CO69" s="79"/>
      <c r="CP69" s="79"/>
      <c r="CQ69" s="79"/>
      <c r="CR69" s="79"/>
      <c r="CS69" s="79"/>
      <c r="CT69" s="79"/>
      <c r="CU69" s="79"/>
      <c r="CV69" s="79"/>
      <c r="CW69" s="79"/>
      <c r="CX69" s="79"/>
      <c r="CY69" s="79"/>
      <c r="CZ69" s="79"/>
      <c r="DA69" s="79"/>
      <c r="DB69" s="79"/>
      <c r="DC69" s="79"/>
      <c r="DD69" s="79"/>
      <c r="DE69" s="79"/>
      <c r="DF69" s="79"/>
      <c r="DG69" s="79"/>
      <c r="DH69" s="79"/>
      <c r="DI69" s="79"/>
      <c r="DJ69" s="79"/>
      <c r="DK69" s="79"/>
      <c r="DL69" s="79"/>
      <c r="DM69" s="79"/>
      <c r="DN69" s="79"/>
      <c r="DO69" s="79"/>
      <c r="DP69" s="79"/>
      <c r="DQ69" s="79"/>
      <c r="DR69" s="79"/>
      <c r="DS69" s="79"/>
      <c r="DT69" s="79"/>
      <c r="DU69" s="79"/>
      <c r="DV69" s="79"/>
      <c r="DW69" s="79"/>
      <c r="DX69" s="79"/>
      <c r="DY69" s="79"/>
      <c r="DZ69" s="79"/>
      <c r="EA69" s="79"/>
    </row>
    <row r="70" spans="1:131" s="84" customFormat="1" ht="68" outlineLevel="1">
      <c r="A70" s="119" t="s">
        <v>357</v>
      </c>
      <c r="B70" s="121" t="s">
        <v>9</v>
      </c>
      <c r="C70" s="103" t="s">
        <v>10</v>
      </c>
      <c r="D70" s="143" t="s">
        <v>558</v>
      </c>
      <c r="E70" s="139" t="s">
        <v>559</v>
      </c>
      <c r="F70" s="411" t="s">
        <v>1322</v>
      </c>
      <c r="G70" s="139" t="s">
        <v>347</v>
      </c>
      <c r="H70" s="139" t="s">
        <v>560</v>
      </c>
      <c r="I70" s="143" t="s">
        <v>561</v>
      </c>
      <c r="J70" s="136" t="s">
        <v>312</v>
      </c>
      <c r="K70" s="171">
        <v>3.5</v>
      </c>
      <c r="L70" s="171">
        <v>288</v>
      </c>
      <c r="M70" s="102" t="s">
        <v>298</v>
      </c>
      <c r="N70" s="103" t="s">
        <v>541</v>
      </c>
      <c r="O70" s="102" t="s">
        <v>299</v>
      </c>
      <c r="P70" s="102" t="s">
        <v>300</v>
      </c>
      <c r="Q70" s="102" t="s">
        <v>305</v>
      </c>
      <c r="R70" s="102" t="s">
        <v>302</v>
      </c>
      <c r="S70" s="99"/>
      <c r="T70" s="79"/>
      <c r="U70" s="79"/>
      <c r="V70" s="79"/>
      <c r="W70" s="79"/>
      <c r="X70" s="79"/>
      <c r="Y70" s="79"/>
      <c r="Z70" s="79"/>
      <c r="AA70" s="79"/>
      <c r="AB70" s="79"/>
      <c r="AC70" s="79"/>
      <c r="AD70" s="79"/>
      <c r="AE70" s="79"/>
      <c r="AF70" s="79"/>
      <c r="AG70" s="79"/>
      <c r="AH70" s="79"/>
      <c r="AI70" s="79"/>
      <c r="AJ70" s="79"/>
      <c r="AK70" s="79"/>
      <c r="AL70" s="79"/>
      <c r="AM70" s="79"/>
      <c r="AN70" s="79"/>
      <c r="AO70" s="79"/>
      <c r="AP70" s="79"/>
      <c r="AQ70" s="79"/>
      <c r="AR70" s="79"/>
      <c r="AS70" s="79"/>
      <c r="AT70" s="79"/>
      <c r="AU70" s="79"/>
      <c r="AV70" s="79"/>
      <c r="AW70" s="79"/>
      <c r="AX70" s="79"/>
      <c r="AY70" s="79"/>
      <c r="AZ70" s="79"/>
      <c r="BA70" s="79"/>
      <c r="BB70" s="79"/>
      <c r="BC70" s="79"/>
      <c r="BD70" s="79"/>
      <c r="BE70" s="79"/>
      <c r="BF70" s="79"/>
      <c r="BG70" s="79"/>
      <c r="BH70" s="79"/>
      <c r="BI70" s="79"/>
      <c r="BJ70" s="79"/>
      <c r="BK70" s="79"/>
      <c r="BL70" s="79"/>
      <c r="BM70" s="79"/>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c r="CN70" s="79"/>
      <c r="CO70" s="79"/>
      <c r="CP70" s="79"/>
      <c r="CQ70" s="79"/>
      <c r="CR70" s="79"/>
      <c r="CS70" s="79"/>
      <c r="CT70" s="79"/>
      <c r="CU70" s="79"/>
      <c r="CV70" s="79"/>
      <c r="CW70" s="79"/>
      <c r="CX70" s="79"/>
      <c r="CY70" s="79"/>
      <c r="CZ70" s="79"/>
      <c r="DA70" s="79"/>
      <c r="DB70" s="79"/>
      <c r="DC70" s="79"/>
      <c r="DD70" s="79"/>
      <c r="DE70" s="79"/>
      <c r="DF70" s="79"/>
      <c r="DG70" s="79"/>
      <c r="DH70" s="79"/>
      <c r="DI70" s="79"/>
      <c r="DJ70" s="79"/>
      <c r="DK70" s="79"/>
      <c r="DL70" s="79"/>
      <c r="DM70" s="79"/>
      <c r="DN70" s="79"/>
      <c r="DO70" s="79"/>
      <c r="DP70" s="79"/>
      <c r="DQ70" s="79"/>
      <c r="DR70" s="79"/>
      <c r="DS70" s="79"/>
      <c r="DT70" s="79"/>
      <c r="DU70" s="79"/>
      <c r="DV70" s="79"/>
      <c r="DW70" s="79"/>
      <c r="DX70" s="79"/>
      <c r="DY70" s="79"/>
      <c r="DZ70" s="79"/>
      <c r="EA70" s="79"/>
    </row>
    <row r="71" spans="1:131" s="82" customFormat="1" ht="170">
      <c r="A71" s="144" t="s">
        <v>357</v>
      </c>
      <c r="B71" s="144" t="s">
        <v>12</v>
      </c>
      <c r="C71" s="145" t="s">
        <v>13</v>
      </c>
      <c r="D71" s="146" t="s">
        <v>562</v>
      </c>
      <c r="E71" s="146" t="s">
        <v>563</v>
      </c>
      <c r="F71" s="146" t="s">
        <v>303</v>
      </c>
      <c r="G71" s="147" t="s">
        <v>392</v>
      </c>
      <c r="H71" s="148" t="s">
        <v>564</v>
      </c>
      <c r="I71" s="145" t="s">
        <v>565</v>
      </c>
      <c r="J71" s="173" t="s">
        <v>312</v>
      </c>
      <c r="K71" s="174">
        <f>K72+K73+K73+K74+K75+K76+K77+K78+K79+K80</f>
        <v>248</v>
      </c>
      <c r="L71" s="174">
        <f>L72+L73+L73+L74+L75+L76+L77+L78+L79+L80</f>
        <v>1241</v>
      </c>
      <c r="M71" s="175" t="s">
        <v>298</v>
      </c>
      <c r="N71" s="148" t="s">
        <v>566</v>
      </c>
      <c r="O71" s="175" t="s">
        <v>299</v>
      </c>
      <c r="P71" s="175" t="s">
        <v>300</v>
      </c>
      <c r="Q71" s="175" t="s">
        <v>305</v>
      </c>
      <c r="R71" s="175" t="s">
        <v>302</v>
      </c>
      <c r="S71" s="175"/>
    </row>
    <row r="72" spans="1:131" ht="85" outlineLevel="1">
      <c r="A72" s="144" t="s">
        <v>357</v>
      </c>
      <c r="B72" s="149" t="s">
        <v>12</v>
      </c>
      <c r="C72" s="150" t="s">
        <v>13</v>
      </c>
      <c r="D72" s="150" t="s">
        <v>567</v>
      </c>
      <c r="E72" s="150" t="s">
        <v>568</v>
      </c>
      <c r="F72" s="151" t="s">
        <v>303</v>
      </c>
      <c r="G72" s="152" t="s">
        <v>333</v>
      </c>
      <c r="H72" s="150" t="s">
        <v>569</v>
      </c>
      <c r="I72" s="150" t="s">
        <v>570</v>
      </c>
      <c r="J72" s="176" t="s">
        <v>312</v>
      </c>
      <c r="K72" s="177">
        <v>40</v>
      </c>
      <c r="L72" s="177">
        <v>247</v>
      </c>
      <c r="M72" s="178" t="s">
        <v>298</v>
      </c>
      <c r="N72" s="179" t="s">
        <v>566</v>
      </c>
      <c r="O72" s="178" t="s">
        <v>299</v>
      </c>
      <c r="P72" s="178" t="s">
        <v>300</v>
      </c>
      <c r="Q72" s="178" t="s">
        <v>305</v>
      </c>
      <c r="R72" s="178" t="s">
        <v>302</v>
      </c>
      <c r="S72" s="178"/>
    </row>
    <row r="73" spans="1:131" ht="85" outlineLevel="1">
      <c r="A73" s="144" t="s">
        <v>357</v>
      </c>
      <c r="B73" s="149" t="s">
        <v>12</v>
      </c>
      <c r="C73" s="150" t="s">
        <v>13</v>
      </c>
      <c r="D73" s="150" t="s">
        <v>571</v>
      </c>
      <c r="E73" s="150" t="s">
        <v>568</v>
      </c>
      <c r="F73" s="151" t="s">
        <v>303</v>
      </c>
      <c r="G73" s="152" t="s">
        <v>572</v>
      </c>
      <c r="H73" s="150" t="s">
        <v>573</v>
      </c>
      <c r="I73" s="150" t="s">
        <v>574</v>
      </c>
      <c r="J73" s="176" t="s">
        <v>312</v>
      </c>
      <c r="K73" s="177">
        <v>40</v>
      </c>
      <c r="L73" s="177">
        <v>247</v>
      </c>
      <c r="M73" s="178" t="s">
        <v>298</v>
      </c>
      <c r="N73" s="179" t="s">
        <v>566</v>
      </c>
      <c r="O73" s="178" t="s">
        <v>299</v>
      </c>
      <c r="P73" s="178" t="s">
        <v>300</v>
      </c>
      <c r="Q73" s="178" t="s">
        <v>305</v>
      </c>
      <c r="R73" s="178" t="s">
        <v>302</v>
      </c>
      <c r="S73" s="178"/>
    </row>
    <row r="74" spans="1:131" ht="85" outlineLevel="1">
      <c r="A74" s="153" t="s">
        <v>357</v>
      </c>
      <c r="B74" s="154" t="s">
        <v>12</v>
      </c>
      <c r="C74" s="150" t="s">
        <v>13</v>
      </c>
      <c r="D74" s="151" t="s">
        <v>575</v>
      </c>
      <c r="E74" s="150" t="s">
        <v>568</v>
      </c>
      <c r="F74" s="151" t="s">
        <v>303</v>
      </c>
      <c r="G74" s="155" t="s">
        <v>576</v>
      </c>
      <c r="H74" s="151" t="s">
        <v>577</v>
      </c>
      <c r="I74" s="151" t="s">
        <v>578</v>
      </c>
      <c r="J74" s="176" t="s">
        <v>312</v>
      </c>
      <c r="K74" s="180">
        <v>8</v>
      </c>
      <c r="L74" s="180">
        <v>1</v>
      </c>
      <c r="M74" s="178" t="s">
        <v>298</v>
      </c>
      <c r="N74" s="178" t="s">
        <v>501</v>
      </c>
      <c r="O74" s="178" t="s">
        <v>299</v>
      </c>
      <c r="P74" s="178" t="s">
        <v>300</v>
      </c>
      <c r="Q74" s="178" t="s">
        <v>305</v>
      </c>
      <c r="R74" s="178" t="s">
        <v>302</v>
      </c>
      <c r="S74" s="178"/>
    </row>
    <row r="75" spans="1:131" ht="85" outlineLevel="1">
      <c r="A75" s="144" t="s">
        <v>357</v>
      </c>
      <c r="B75" s="149" t="s">
        <v>12</v>
      </c>
      <c r="C75" s="150" t="s">
        <v>13</v>
      </c>
      <c r="D75" s="150" t="s">
        <v>579</v>
      </c>
      <c r="E75" s="150" t="s">
        <v>568</v>
      </c>
      <c r="F75" s="151" t="s">
        <v>303</v>
      </c>
      <c r="G75" s="155" t="s">
        <v>576</v>
      </c>
      <c r="H75" s="150" t="s">
        <v>320</v>
      </c>
      <c r="I75" s="150" t="s">
        <v>323</v>
      </c>
      <c r="J75" s="176" t="s">
        <v>312</v>
      </c>
      <c r="K75" s="177">
        <v>40</v>
      </c>
      <c r="L75" s="177">
        <v>247</v>
      </c>
      <c r="M75" s="178" t="s">
        <v>308</v>
      </c>
      <c r="N75" s="178"/>
      <c r="O75" s="178" t="s">
        <v>299</v>
      </c>
      <c r="P75" s="178" t="s">
        <v>300</v>
      </c>
      <c r="Q75" s="178" t="s">
        <v>305</v>
      </c>
      <c r="R75" s="178" t="s">
        <v>302</v>
      </c>
      <c r="S75" s="178"/>
    </row>
    <row r="76" spans="1:131" ht="85" outlineLevel="1">
      <c r="A76" s="144" t="s">
        <v>357</v>
      </c>
      <c r="B76" s="149" t="s">
        <v>12</v>
      </c>
      <c r="C76" s="150" t="s">
        <v>13</v>
      </c>
      <c r="D76" s="150" t="s">
        <v>580</v>
      </c>
      <c r="E76" s="150" t="s">
        <v>581</v>
      </c>
      <c r="F76" s="151" t="s">
        <v>303</v>
      </c>
      <c r="G76" s="155" t="s">
        <v>576</v>
      </c>
      <c r="H76" s="150" t="s">
        <v>582</v>
      </c>
      <c r="I76" s="150" t="s">
        <v>574</v>
      </c>
      <c r="J76" s="176" t="s">
        <v>312</v>
      </c>
      <c r="K76" s="177">
        <v>40</v>
      </c>
      <c r="L76" s="177">
        <v>247</v>
      </c>
      <c r="M76" s="178" t="s">
        <v>308</v>
      </c>
      <c r="N76" s="178"/>
      <c r="O76" s="178" t="s">
        <v>299</v>
      </c>
      <c r="P76" s="178" t="s">
        <v>300</v>
      </c>
      <c r="Q76" s="178" t="s">
        <v>305</v>
      </c>
      <c r="R76" s="178" t="s">
        <v>302</v>
      </c>
      <c r="S76" s="178"/>
    </row>
    <row r="77" spans="1:131" ht="85" outlineLevel="1">
      <c r="A77" s="144" t="s">
        <v>357</v>
      </c>
      <c r="B77" s="149" t="s">
        <v>12</v>
      </c>
      <c r="C77" s="150" t="s">
        <v>13</v>
      </c>
      <c r="D77" s="150" t="s">
        <v>583</v>
      </c>
      <c r="E77" s="150" t="s">
        <v>584</v>
      </c>
      <c r="F77" s="151" t="s">
        <v>303</v>
      </c>
      <c r="G77" s="152" t="s">
        <v>572</v>
      </c>
      <c r="H77" s="150" t="s">
        <v>585</v>
      </c>
      <c r="I77" s="150" t="s">
        <v>586</v>
      </c>
      <c r="J77" s="176" t="s">
        <v>312</v>
      </c>
      <c r="K77" s="177">
        <v>8</v>
      </c>
      <c r="L77" s="177">
        <v>1</v>
      </c>
      <c r="M77" s="178" t="s">
        <v>308</v>
      </c>
      <c r="N77" s="178"/>
      <c r="O77" s="178" t="s">
        <v>299</v>
      </c>
      <c r="P77" s="178" t="s">
        <v>300</v>
      </c>
      <c r="Q77" s="178" t="s">
        <v>305</v>
      </c>
      <c r="R77" s="178" t="s">
        <v>302</v>
      </c>
      <c r="S77" s="178"/>
    </row>
    <row r="78" spans="1:131" ht="85" outlineLevel="1">
      <c r="A78" s="144" t="s">
        <v>357</v>
      </c>
      <c r="B78" s="149" t="s">
        <v>12</v>
      </c>
      <c r="C78" s="150" t="s">
        <v>13</v>
      </c>
      <c r="D78" s="151" t="s">
        <v>587</v>
      </c>
      <c r="E78" s="150" t="s">
        <v>588</v>
      </c>
      <c r="F78" s="151" t="s">
        <v>303</v>
      </c>
      <c r="G78" s="152" t="s">
        <v>589</v>
      </c>
      <c r="H78" s="150" t="s">
        <v>590</v>
      </c>
      <c r="I78" s="150" t="s">
        <v>591</v>
      </c>
      <c r="J78" s="176" t="s">
        <v>312</v>
      </c>
      <c r="K78" s="177">
        <v>8</v>
      </c>
      <c r="L78" s="177">
        <v>1</v>
      </c>
      <c r="M78" s="178" t="s">
        <v>298</v>
      </c>
      <c r="N78" s="179" t="s">
        <v>592</v>
      </c>
      <c r="O78" s="178" t="s">
        <v>299</v>
      </c>
      <c r="P78" s="178" t="s">
        <v>300</v>
      </c>
      <c r="Q78" s="178" t="s">
        <v>305</v>
      </c>
      <c r="R78" s="178" t="s">
        <v>302</v>
      </c>
      <c r="S78" s="178"/>
    </row>
    <row r="79" spans="1:131" ht="102" outlineLevel="1">
      <c r="A79" s="144" t="s">
        <v>357</v>
      </c>
      <c r="B79" s="149" t="s">
        <v>12</v>
      </c>
      <c r="C79" s="150" t="s">
        <v>13</v>
      </c>
      <c r="D79" s="150" t="s">
        <v>593</v>
      </c>
      <c r="E79" s="150" t="s">
        <v>563</v>
      </c>
      <c r="F79" s="151" t="s">
        <v>303</v>
      </c>
      <c r="G79" s="152" t="s">
        <v>501</v>
      </c>
      <c r="H79" s="150" t="s">
        <v>577</v>
      </c>
      <c r="I79" s="150" t="s">
        <v>594</v>
      </c>
      <c r="J79" s="176" t="s">
        <v>312</v>
      </c>
      <c r="K79" s="177">
        <v>8</v>
      </c>
      <c r="L79" s="177">
        <v>1</v>
      </c>
      <c r="M79" s="178" t="s">
        <v>298</v>
      </c>
      <c r="N79" s="178" t="s">
        <v>501</v>
      </c>
      <c r="O79" s="178" t="s">
        <v>299</v>
      </c>
      <c r="P79" s="178" t="s">
        <v>300</v>
      </c>
      <c r="Q79" s="178" t="s">
        <v>305</v>
      </c>
      <c r="R79" s="178" t="s">
        <v>302</v>
      </c>
      <c r="S79" s="178"/>
    </row>
    <row r="80" spans="1:131" ht="85" outlineLevel="1">
      <c r="A80" s="144" t="s">
        <v>357</v>
      </c>
      <c r="B80" s="149" t="s">
        <v>14</v>
      </c>
      <c r="C80" s="150" t="s">
        <v>13</v>
      </c>
      <c r="D80" s="151" t="s">
        <v>595</v>
      </c>
      <c r="E80" s="150" t="s">
        <v>563</v>
      </c>
      <c r="F80" s="151" t="s">
        <v>303</v>
      </c>
      <c r="G80" s="156" t="s">
        <v>596</v>
      </c>
      <c r="H80" s="150" t="s">
        <v>577</v>
      </c>
      <c r="I80" s="150" t="s">
        <v>597</v>
      </c>
      <c r="J80" s="176" t="s">
        <v>309</v>
      </c>
      <c r="K80" s="176">
        <v>16</v>
      </c>
      <c r="L80" s="176">
        <v>2</v>
      </c>
      <c r="M80" s="178" t="s">
        <v>298</v>
      </c>
      <c r="N80" s="178"/>
      <c r="O80" s="178" t="s">
        <v>299</v>
      </c>
      <c r="P80" s="178" t="s">
        <v>300</v>
      </c>
      <c r="Q80" s="178" t="s">
        <v>305</v>
      </c>
      <c r="R80" s="178" t="s">
        <v>302</v>
      </c>
      <c r="S80" s="178"/>
    </row>
    <row r="81" spans="1:131" s="82" customFormat="1" ht="170">
      <c r="A81" s="144" t="s">
        <v>357</v>
      </c>
      <c r="B81" s="144" t="s">
        <v>12</v>
      </c>
      <c r="C81" s="145" t="s">
        <v>13</v>
      </c>
      <c r="D81" s="146" t="s">
        <v>598</v>
      </c>
      <c r="E81" s="146" t="s">
        <v>520</v>
      </c>
      <c r="F81" s="146" t="s">
        <v>303</v>
      </c>
      <c r="G81" s="147" t="s">
        <v>392</v>
      </c>
      <c r="H81" s="148" t="s">
        <v>564</v>
      </c>
      <c r="I81" s="145" t="s">
        <v>565</v>
      </c>
      <c r="J81" s="173" t="s">
        <v>312</v>
      </c>
      <c r="K81" s="174">
        <f>K82+K83+K84</f>
        <v>1448</v>
      </c>
      <c r="L81" s="174">
        <f>L82+L83+L84</f>
        <v>146</v>
      </c>
      <c r="M81" s="175" t="s">
        <v>298</v>
      </c>
      <c r="N81" s="175" t="s">
        <v>501</v>
      </c>
      <c r="O81" s="175" t="s">
        <v>299</v>
      </c>
      <c r="P81" s="175" t="s">
        <v>300</v>
      </c>
      <c r="Q81" s="175" t="s">
        <v>305</v>
      </c>
      <c r="R81" s="175" t="s">
        <v>302</v>
      </c>
      <c r="S81" s="175"/>
    </row>
    <row r="82" spans="1:131" ht="63" customHeight="1" outlineLevel="1">
      <c r="A82" s="149" t="s">
        <v>357</v>
      </c>
      <c r="B82" s="149" t="s">
        <v>12</v>
      </c>
      <c r="C82" s="150" t="s">
        <v>13</v>
      </c>
      <c r="D82" s="150" t="s">
        <v>599</v>
      </c>
      <c r="E82" s="150" t="s">
        <v>568</v>
      </c>
      <c r="F82" s="150" t="s">
        <v>336</v>
      </c>
      <c r="G82" s="150" t="s">
        <v>600</v>
      </c>
      <c r="H82" s="150" t="s">
        <v>601</v>
      </c>
      <c r="I82" s="150" t="s">
        <v>602</v>
      </c>
      <c r="J82" s="176" t="s">
        <v>312</v>
      </c>
      <c r="K82" s="177">
        <v>1152</v>
      </c>
      <c r="L82" s="177">
        <v>144</v>
      </c>
      <c r="M82" s="178" t="s">
        <v>298</v>
      </c>
      <c r="N82" s="178" t="s">
        <v>501</v>
      </c>
      <c r="O82" s="178" t="s">
        <v>299</v>
      </c>
      <c r="P82" s="178" t="s">
        <v>300</v>
      </c>
      <c r="Q82" s="178" t="s">
        <v>305</v>
      </c>
      <c r="R82" s="178" t="s">
        <v>302</v>
      </c>
      <c r="S82" s="178"/>
    </row>
    <row r="83" spans="1:131" ht="48.75" customHeight="1" outlineLevel="1">
      <c r="A83" s="144" t="s">
        <v>357</v>
      </c>
      <c r="B83" s="149" t="s">
        <v>12</v>
      </c>
      <c r="C83" s="150" t="s">
        <v>13</v>
      </c>
      <c r="D83" s="150" t="s">
        <v>603</v>
      </c>
      <c r="E83" s="150" t="s">
        <v>604</v>
      </c>
      <c r="F83" s="150" t="s">
        <v>336</v>
      </c>
      <c r="G83" s="150" t="s">
        <v>600</v>
      </c>
      <c r="H83" s="150" t="s">
        <v>605</v>
      </c>
      <c r="I83" s="150" t="s">
        <v>606</v>
      </c>
      <c r="J83" s="176" t="s">
        <v>312</v>
      </c>
      <c r="K83" s="177">
        <v>8</v>
      </c>
      <c r="L83" s="177">
        <v>1</v>
      </c>
      <c r="M83" s="178" t="s">
        <v>298</v>
      </c>
      <c r="N83" s="179" t="s">
        <v>607</v>
      </c>
      <c r="O83" s="178" t="s">
        <v>299</v>
      </c>
      <c r="P83" s="178" t="s">
        <v>300</v>
      </c>
      <c r="Q83" s="178" t="s">
        <v>305</v>
      </c>
      <c r="R83" s="178" t="s">
        <v>302</v>
      </c>
      <c r="S83" s="178"/>
    </row>
    <row r="84" spans="1:131" ht="85" outlineLevel="1">
      <c r="A84" s="144" t="s">
        <v>357</v>
      </c>
      <c r="B84" s="149" t="s">
        <v>12</v>
      </c>
      <c r="C84" s="150" t="s">
        <v>13</v>
      </c>
      <c r="D84" s="150" t="s">
        <v>608</v>
      </c>
      <c r="E84" s="150" t="s">
        <v>563</v>
      </c>
      <c r="F84" s="150" t="s">
        <v>336</v>
      </c>
      <c r="G84" s="150" t="s">
        <v>600</v>
      </c>
      <c r="H84" s="150" t="s">
        <v>609</v>
      </c>
      <c r="I84" s="150" t="s">
        <v>610</v>
      </c>
      <c r="J84" s="176" t="s">
        <v>312</v>
      </c>
      <c r="K84" s="177">
        <v>288</v>
      </c>
      <c r="L84" s="177">
        <v>1</v>
      </c>
      <c r="M84" s="178" t="s">
        <v>298</v>
      </c>
      <c r="N84" s="178" t="s">
        <v>501</v>
      </c>
      <c r="O84" s="178" t="s">
        <v>299</v>
      </c>
      <c r="P84" s="178" t="s">
        <v>300</v>
      </c>
      <c r="Q84" s="178" t="s">
        <v>305</v>
      </c>
      <c r="R84" s="178" t="s">
        <v>302</v>
      </c>
      <c r="S84" s="178"/>
    </row>
    <row r="85" spans="1:131" s="85" customFormat="1" ht="85">
      <c r="A85" s="144" t="s">
        <v>357</v>
      </c>
      <c r="B85" s="145" t="s">
        <v>12</v>
      </c>
      <c r="C85" s="145" t="s">
        <v>13</v>
      </c>
      <c r="D85" s="145" t="s">
        <v>611</v>
      </c>
      <c r="E85" s="145" t="s">
        <v>612</v>
      </c>
      <c r="F85" s="145" t="s">
        <v>303</v>
      </c>
      <c r="G85" s="145" t="s">
        <v>347</v>
      </c>
      <c r="H85" s="145" t="s">
        <v>613</v>
      </c>
      <c r="I85" s="145" t="s">
        <v>547</v>
      </c>
      <c r="J85" s="145" t="s">
        <v>312</v>
      </c>
      <c r="K85" s="145">
        <f>K63+K64+K65+K66+K67+K68+K69+K70</f>
        <v>31.5</v>
      </c>
      <c r="L85" s="145">
        <f>L63+L64+L65+L66+L67+L68+L69+L70</f>
        <v>2188</v>
      </c>
      <c r="M85" s="175" t="s">
        <v>298</v>
      </c>
      <c r="N85" s="148" t="s">
        <v>467</v>
      </c>
      <c r="O85" s="175" t="s">
        <v>299</v>
      </c>
      <c r="P85" s="175" t="s">
        <v>300</v>
      </c>
      <c r="Q85" s="175" t="s">
        <v>305</v>
      </c>
      <c r="R85" s="175" t="s">
        <v>302</v>
      </c>
      <c r="S85" s="175"/>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c r="AV85" s="82"/>
      <c r="AW85" s="82"/>
      <c r="AX85" s="82"/>
      <c r="AY85" s="82"/>
      <c r="AZ85" s="82"/>
      <c r="BA85" s="82"/>
      <c r="BB85" s="82"/>
      <c r="BC85" s="82"/>
      <c r="BD85" s="82"/>
      <c r="BE85" s="82"/>
      <c r="BF85" s="82"/>
      <c r="BG85" s="82"/>
      <c r="BH85" s="82"/>
      <c r="BI85" s="82"/>
      <c r="BJ85" s="82"/>
      <c r="BK85" s="82"/>
      <c r="BL85" s="82"/>
      <c r="BM85" s="82"/>
      <c r="BN85" s="82"/>
      <c r="BO85" s="82"/>
      <c r="BP85" s="82"/>
      <c r="BQ85" s="82"/>
      <c r="BR85" s="82"/>
      <c r="BS85" s="82"/>
      <c r="BT85" s="82"/>
      <c r="BU85" s="82"/>
      <c r="BV85" s="82"/>
      <c r="BW85" s="82"/>
      <c r="BX85" s="82"/>
      <c r="BY85" s="82"/>
      <c r="BZ85" s="82"/>
      <c r="CA85" s="82"/>
      <c r="CB85" s="82"/>
      <c r="CC85" s="82"/>
      <c r="CD85" s="82"/>
      <c r="CE85" s="82"/>
      <c r="CF85" s="82"/>
      <c r="CG85" s="82"/>
      <c r="CH85" s="82"/>
      <c r="CI85" s="82"/>
      <c r="CJ85" s="82"/>
      <c r="CK85" s="82"/>
      <c r="CL85" s="82"/>
      <c r="CM85" s="82"/>
      <c r="CN85" s="82"/>
      <c r="CO85" s="82"/>
      <c r="CP85" s="82"/>
      <c r="CQ85" s="82"/>
      <c r="CR85" s="82"/>
      <c r="CS85" s="82"/>
      <c r="CT85" s="82"/>
      <c r="CU85" s="82"/>
      <c r="CV85" s="82"/>
      <c r="CW85" s="82"/>
      <c r="CX85" s="82"/>
      <c r="CY85" s="82"/>
      <c r="CZ85" s="82"/>
      <c r="DA85" s="82"/>
      <c r="DB85" s="82"/>
      <c r="DC85" s="82"/>
      <c r="DD85" s="82"/>
      <c r="DE85" s="82"/>
      <c r="DF85" s="82"/>
      <c r="DG85" s="82"/>
      <c r="DH85" s="82"/>
      <c r="DI85" s="82"/>
      <c r="DJ85" s="82"/>
      <c r="DK85" s="82"/>
      <c r="DL85" s="82"/>
      <c r="DM85" s="82"/>
      <c r="DN85" s="82"/>
      <c r="DO85" s="82"/>
      <c r="DP85" s="82"/>
      <c r="DQ85" s="82"/>
      <c r="DR85" s="82"/>
      <c r="DS85" s="82"/>
      <c r="DT85" s="82"/>
      <c r="DU85" s="82"/>
      <c r="DV85" s="82"/>
      <c r="DW85" s="82"/>
      <c r="DX85" s="82"/>
      <c r="DY85" s="82"/>
      <c r="DZ85" s="82"/>
      <c r="EA85" s="82"/>
    </row>
    <row r="86" spans="1:131" s="86" customFormat="1" ht="102" customHeight="1">
      <c r="A86" s="100" t="s">
        <v>357</v>
      </c>
      <c r="B86" s="157" t="s">
        <v>9</v>
      </c>
      <c r="C86" s="157" t="s">
        <v>614</v>
      </c>
      <c r="D86" s="157" t="s">
        <v>615</v>
      </c>
      <c r="E86" s="157" t="s">
        <v>616</v>
      </c>
      <c r="F86" s="157" t="s">
        <v>303</v>
      </c>
      <c r="G86" s="157" t="s">
        <v>617</v>
      </c>
      <c r="H86" s="157" t="s">
        <v>618</v>
      </c>
      <c r="I86" s="157" t="s">
        <v>619</v>
      </c>
      <c r="J86" s="157" t="s">
        <v>319</v>
      </c>
      <c r="K86" s="181">
        <f>K87+K88+K89+K90+K91+K92+K93+K94+K95+K96+K97+K98+K99+K100+K101+K102+K102+K103</f>
        <v>84.399999999999991</v>
      </c>
      <c r="L86" s="181">
        <f>L87+L88+L89+L90+L91+L92+L93+L94+L95+L96+L97+L98+L99+L100+L101+L102+L102+L103</f>
        <v>2975</v>
      </c>
      <c r="M86" s="182" t="s">
        <v>298</v>
      </c>
      <c r="N86" s="183" t="s">
        <v>620</v>
      </c>
      <c r="O86" s="182" t="s">
        <v>299</v>
      </c>
      <c r="P86" s="182" t="s">
        <v>300</v>
      </c>
      <c r="Q86" s="182" t="s">
        <v>305</v>
      </c>
      <c r="R86" s="182" t="s">
        <v>302</v>
      </c>
      <c r="S86" s="182"/>
    </row>
    <row r="87" spans="1:131" ht="170" outlineLevel="1">
      <c r="A87" s="144" t="s">
        <v>357</v>
      </c>
      <c r="B87" s="149" t="s">
        <v>12</v>
      </c>
      <c r="C87" s="150" t="s">
        <v>13</v>
      </c>
      <c r="D87" s="150" t="s">
        <v>621</v>
      </c>
      <c r="E87" s="150" t="s">
        <v>622</v>
      </c>
      <c r="F87" s="150" t="s">
        <v>303</v>
      </c>
      <c r="G87" s="150" t="s">
        <v>623</v>
      </c>
      <c r="H87" s="150" t="s">
        <v>624</v>
      </c>
      <c r="I87" s="150" t="s">
        <v>625</v>
      </c>
      <c r="J87" s="150" t="s">
        <v>297</v>
      </c>
      <c r="K87" s="177">
        <v>0.5</v>
      </c>
      <c r="L87" s="177">
        <v>80</v>
      </c>
      <c r="M87" s="178" t="s">
        <v>308</v>
      </c>
      <c r="N87" s="178"/>
      <c r="O87" s="178" t="s">
        <v>299</v>
      </c>
      <c r="P87" s="178" t="s">
        <v>300</v>
      </c>
      <c r="Q87" s="178" t="s">
        <v>305</v>
      </c>
      <c r="R87" s="178" t="s">
        <v>302</v>
      </c>
      <c r="S87" s="178"/>
    </row>
    <row r="88" spans="1:131" ht="102" outlineLevel="1">
      <c r="A88" s="144" t="s">
        <v>357</v>
      </c>
      <c r="B88" s="149" t="s">
        <v>12</v>
      </c>
      <c r="C88" s="150" t="s">
        <v>13</v>
      </c>
      <c r="D88" s="150" t="s">
        <v>626</v>
      </c>
      <c r="E88" s="150" t="s">
        <v>622</v>
      </c>
      <c r="F88" s="150" t="s">
        <v>303</v>
      </c>
      <c r="G88" s="150" t="s">
        <v>627</v>
      </c>
      <c r="H88" s="150" t="s">
        <v>628</v>
      </c>
      <c r="I88" s="150" t="s">
        <v>619</v>
      </c>
      <c r="J88" s="150" t="s">
        <v>297</v>
      </c>
      <c r="K88" s="177">
        <v>0.5</v>
      </c>
      <c r="L88" s="177">
        <v>620</v>
      </c>
      <c r="M88" s="178" t="s">
        <v>298</v>
      </c>
      <c r="N88" s="178"/>
      <c r="O88" s="178" t="s">
        <v>299</v>
      </c>
      <c r="P88" s="178" t="s">
        <v>300</v>
      </c>
      <c r="Q88" s="178" t="s">
        <v>305</v>
      </c>
      <c r="R88" s="178" t="s">
        <v>302</v>
      </c>
      <c r="S88" s="178"/>
    </row>
    <row r="89" spans="1:131" ht="119" outlineLevel="1">
      <c r="A89" s="144" t="s">
        <v>357</v>
      </c>
      <c r="B89" s="149" t="s">
        <v>12</v>
      </c>
      <c r="C89" s="150" t="s">
        <v>13</v>
      </c>
      <c r="D89" s="150" t="s">
        <v>629</v>
      </c>
      <c r="E89" s="150" t="s">
        <v>622</v>
      </c>
      <c r="F89" s="150" t="s">
        <v>303</v>
      </c>
      <c r="G89" s="150" t="s">
        <v>627</v>
      </c>
      <c r="H89" s="150" t="s">
        <v>630</v>
      </c>
      <c r="I89" s="150" t="s">
        <v>619</v>
      </c>
      <c r="J89" s="150" t="s">
        <v>297</v>
      </c>
      <c r="K89" s="177">
        <v>0.5</v>
      </c>
      <c r="L89" s="177">
        <v>70</v>
      </c>
      <c r="M89" s="178" t="s">
        <v>308</v>
      </c>
      <c r="N89" s="179" t="s">
        <v>631</v>
      </c>
      <c r="O89" s="178" t="s">
        <v>299</v>
      </c>
      <c r="P89" s="178" t="s">
        <v>300</v>
      </c>
      <c r="Q89" s="178" t="s">
        <v>305</v>
      </c>
      <c r="R89" s="178" t="s">
        <v>302</v>
      </c>
      <c r="S89" s="178"/>
    </row>
    <row r="90" spans="1:131" s="82" customFormat="1" ht="119" outlineLevel="1">
      <c r="A90" s="144" t="s">
        <v>357</v>
      </c>
      <c r="B90" s="149" t="s">
        <v>12</v>
      </c>
      <c r="C90" s="150" t="s">
        <v>13</v>
      </c>
      <c r="D90" s="150" t="s">
        <v>632</v>
      </c>
      <c r="E90" s="150" t="s">
        <v>622</v>
      </c>
      <c r="F90" s="150" t="s">
        <v>303</v>
      </c>
      <c r="G90" s="150" t="s">
        <v>627</v>
      </c>
      <c r="H90" s="150" t="s">
        <v>633</v>
      </c>
      <c r="I90" s="150" t="s">
        <v>619</v>
      </c>
      <c r="J90" s="150" t="s">
        <v>297</v>
      </c>
      <c r="K90" s="177">
        <v>0.5</v>
      </c>
      <c r="L90" s="177">
        <v>30</v>
      </c>
      <c r="M90" s="178" t="s">
        <v>308</v>
      </c>
      <c r="N90" s="179" t="s">
        <v>631</v>
      </c>
      <c r="O90" s="178" t="s">
        <v>299</v>
      </c>
      <c r="P90" s="178" t="s">
        <v>300</v>
      </c>
      <c r="Q90" s="178" t="s">
        <v>305</v>
      </c>
      <c r="R90" s="178" t="s">
        <v>302</v>
      </c>
      <c r="S90" s="178"/>
    </row>
    <row r="91" spans="1:131" ht="289" outlineLevel="1">
      <c r="A91" s="144" t="s">
        <v>357</v>
      </c>
      <c r="B91" s="149" t="s">
        <v>12</v>
      </c>
      <c r="C91" s="150" t="s">
        <v>13</v>
      </c>
      <c r="D91" s="150" t="s">
        <v>634</v>
      </c>
      <c r="E91" s="150" t="s">
        <v>622</v>
      </c>
      <c r="F91" s="150" t="s">
        <v>303</v>
      </c>
      <c r="G91" s="150" t="s">
        <v>627</v>
      </c>
      <c r="H91" s="150" t="s">
        <v>635</v>
      </c>
      <c r="I91" s="150" t="s">
        <v>636</v>
      </c>
      <c r="J91" s="150" t="s">
        <v>297</v>
      </c>
      <c r="K91" s="177">
        <v>8</v>
      </c>
      <c r="L91" s="177">
        <v>10</v>
      </c>
      <c r="M91" s="178" t="s">
        <v>298</v>
      </c>
      <c r="N91" s="179" t="s">
        <v>637</v>
      </c>
      <c r="O91" s="178" t="s">
        <v>299</v>
      </c>
      <c r="P91" s="178" t="s">
        <v>300</v>
      </c>
      <c r="Q91" s="178" t="s">
        <v>305</v>
      </c>
      <c r="R91" s="178" t="s">
        <v>302</v>
      </c>
      <c r="S91" s="178"/>
    </row>
    <row r="92" spans="1:131" ht="119" outlineLevel="1">
      <c r="A92" s="144" t="s">
        <v>357</v>
      </c>
      <c r="B92" s="149" t="s">
        <v>12</v>
      </c>
      <c r="C92" s="150" t="s">
        <v>13</v>
      </c>
      <c r="D92" s="150" t="s">
        <v>638</v>
      </c>
      <c r="E92" s="150" t="s">
        <v>622</v>
      </c>
      <c r="F92" s="150" t="s">
        <v>303</v>
      </c>
      <c r="G92" s="150" t="s">
        <v>627</v>
      </c>
      <c r="H92" s="150" t="s">
        <v>639</v>
      </c>
      <c r="I92" s="150" t="s">
        <v>619</v>
      </c>
      <c r="J92" s="150" t="s">
        <v>297</v>
      </c>
      <c r="K92" s="177">
        <v>0.5</v>
      </c>
      <c r="L92" s="177">
        <v>86</v>
      </c>
      <c r="M92" s="178" t="s">
        <v>308</v>
      </c>
      <c r="N92" s="178"/>
      <c r="O92" s="178" t="s">
        <v>299</v>
      </c>
      <c r="P92" s="178" t="s">
        <v>300</v>
      </c>
      <c r="Q92" s="178" t="s">
        <v>305</v>
      </c>
      <c r="R92" s="178" t="s">
        <v>302</v>
      </c>
      <c r="S92" s="178"/>
    </row>
    <row r="93" spans="1:131" ht="119" outlineLevel="1">
      <c r="A93" s="144" t="s">
        <v>357</v>
      </c>
      <c r="B93" s="149" t="s">
        <v>12</v>
      </c>
      <c r="C93" s="150" t="s">
        <v>13</v>
      </c>
      <c r="D93" s="150" t="s">
        <v>640</v>
      </c>
      <c r="E93" s="150" t="s">
        <v>622</v>
      </c>
      <c r="F93" s="150" t="s">
        <v>303</v>
      </c>
      <c r="G93" s="150" t="s">
        <v>627</v>
      </c>
      <c r="H93" s="150" t="s">
        <v>639</v>
      </c>
      <c r="I93" s="150" t="s">
        <v>619</v>
      </c>
      <c r="J93" s="150" t="s">
        <v>297</v>
      </c>
      <c r="K93" s="177">
        <v>0.5</v>
      </c>
      <c r="L93" s="177">
        <v>10</v>
      </c>
      <c r="M93" s="178" t="s">
        <v>308</v>
      </c>
      <c r="N93" s="178"/>
      <c r="O93" s="178" t="s">
        <v>299</v>
      </c>
      <c r="P93" s="178" t="s">
        <v>300</v>
      </c>
      <c r="Q93" s="178" t="s">
        <v>305</v>
      </c>
      <c r="R93" s="178" t="s">
        <v>302</v>
      </c>
      <c r="S93" s="178"/>
    </row>
    <row r="94" spans="1:131" ht="136" outlineLevel="1">
      <c r="A94" s="144" t="s">
        <v>357</v>
      </c>
      <c r="B94" s="149" t="s">
        <v>12</v>
      </c>
      <c r="C94" s="150" t="s">
        <v>13</v>
      </c>
      <c r="D94" s="150" t="s">
        <v>641</v>
      </c>
      <c r="E94" s="150" t="s">
        <v>642</v>
      </c>
      <c r="F94" s="150" t="s">
        <v>303</v>
      </c>
      <c r="G94" s="150" t="s">
        <v>627</v>
      </c>
      <c r="H94" s="150" t="s">
        <v>643</v>
      </c>
      <c r="I94" s="150" t="s">
        <v>644</v>
      </c>
      <c r="J94" s="150" t="s">
        <v>297</v>
      </c>
      <c r="K94" s="177">
        <v>16</v>
      </c>
      <c r="L94" s="177">
        <v>2</v>
      </c>
      <c r="M94" s="178" t="s">
        <v>298</v>
      </c>
      <c r="N94" s="179" t="s">
        <v>645</v>
      </c>
      <c r="O94" s="178" t="s">
        <v>299</v>
      </c>
      <c r="P94" s="178" t="s">
        <v>300</v>
      </c>
      <c r="Q94" s="178" t="s">
        <v>305</v>
      </c>
      <c r="R94" s="178" t="s">
        <v>302</v>
      </c>
      <c r="S94" s="178"/>
    </row>
    <row r="95" spans="1:131" ht="85" outlineLevel="1">
      <c r="A95" s="144" t="s">
        <v>357</v>
      </c>
      <c r="B95" s="149" t="s">
        <v>12</v>
      </c>
      <c r="C95" s="150" t="s">
        <v>13</v>
      </c>
      <c r="D95" s="150" t="s">
        <v>646</v>
      </c>
      <c r="E95" s="150" t="s">
        <v>647</v>
      </c>
      <c r="F95" s="150" t="s">
        <v>303</v>
      </c>
      <c r="G95" s="150" t="s">
        <v>572</v>
      </c>
      <c r="H95" s="150" t="s">
        <v>648</v>
      </c>
      <c r="I95" s="150" t="s">
        <v>649</v>
      </c>
      <c r="J95" s="150" t="s">
        <v>297</v>
      </c>
      <c r="K95" s="177">
        <v>8</v>
      </c>
      <c r="L95" s="177">
        <v>1</v>
      </c>
      <c r="M95" s="178" t="s">
        <v>298</v>
      </c>
      <c r="N95" s="179" t="s">
        <v>650</v>
      </c>
      <c r="O95" s="178" t="s">
        <v>299</v>
      </c>
      <c r="P95" s="178" t="s">
        <v>300</v>
      </c>
      <c r="Q95" s="178" t="s">
        <v>305</v>
      </c>
      <c r="R95" s="178" t="s">
        <v>302</v>
      </c>
      <c r="S95" s="178"/>
    </row>
    <row r="96" spans="1:131" ht="102" outlineLevel="1">
      <c r="A96" s="144" t="s">
        <v>357</v>
      </c>
      <c r="B96" s="149" t="s">
        <v>12</v>
      </c>
      <c r="C96" s="150" t="s">
        <v>13</v>
      </c>
      <c r="D96" s="150" t="s">
        <v>651</v>
      </c>
      <c r="E96" s="150" t="s">
        <v>652</v>
      </c>
      <c r="F96" s="150" t="s">
        <v>303</v>
      </c>
      <c r="G96" s="150" t="s">
        <v>653</v>
      </c>
      <c r="H96" s="150" t="s">
        <v>654</v>
      </c>
      <c r="I96" s="150" t="s">
        <v>655</v>
      </c>
      <c r="J96" s="150" t="s">
        <v>297</v>
      </c>
      <c r="K96" s="177">
        <v>16</v>
      </c>
      <c r="L96" s="177">
        <v>1</v>
      </c>
      <c r="M96" s="178" t="s">
        <v>298</v>
      </c>
      <c r="N96" s="179" t="s">
        <v>656</v>
      </c>
      <c r="O96" s="178" t="s">
        <v>299</v>
      </c>
      <c r="P96" s="178" t="s">
        <v>300</v>
      </c>
      <c r="Q96" s="178" t="s">
        <v>305</v>
      </c>
      <c r="R96" s="178" t="s">
        <v>302</v>
      </c>
      <c r="S96" s="178"/>
    </row>
    <row r="97" spans="1:35" ht="85" outlineLevel="1">
      <c r="A97" s="144" t="s">
        <v>357</v>
      </c>
      <c r="B97" s="149" t="s">
        <v>12</v>
      </c>
      <c r="C97" s="150" t="s">
        <v>13</v>
      </c>
      <c r="D97" s="150" t="s">
        <v>657</v>
      </c>
      <c r="E97" s="150" t="s">
        <v>652</v>
      </c>
      <c r="F97" s="150" t="s">
        <v>303</v>
      </c>
      <c r="G97" s="150" t="s">
        <v>658</v>
      </c>
      <c r="H97" s="150" t="s">
        <v>659</v>
      </c>
      <c r="I97" s="150" t="s">
        <v>660</v>
      </c>
      <c r="J97" s="150" t="s">
        <v>297</v>
      </c>
      <c r="K97" s="177">
        <v>16</v>
      </c>
      <c r="L97" s="177">
        <v>1</v>
      </c>
      <c r="M97" s="178" t="s">
        <v>298</v>
      </c>
      <c r="N97" s="179" t="s">
        <v>661</v>
      </c>
      <c r="O97" s="178" t="s">
        <v>299</v>
      </c>
      <c r="P97" s="178" t="s">
        <v>300</v>
      </c>
      <c r="Q97" s="178" t="s">
        <v>305</v>
      </c>
      <c r="R97" s="178" t="s">
        <v>302</v>
      </c>
      <c r="S97" s="178"/>
    </row>
    <row r="98" spans="1:35" ht="289" outlineLevel="1">
      <c r="A98" s="144" t="s">
        <v>357</v>
      </c>
      <c r="B98" s="149" t="s">
        <v>12</v>
      </c>
      <c r="C98" s="150" t="s">
        <v>13</v>
      </c>
      <c r="D98" s="150" t="s">
        <v>662</v>
      </c>
      <c r="E98" s="150" t="s">
        <v>652</v>
      </c>
      <c r="F98" s="150" t="s">
        <v>303</v>
      </c>
      <c r="G98" s="150" t="s">
        <v>663</v>
      </c>
      <c r="H98" s="150" t="s">
        <v>664</v>
      </c>
      <c r="I98" s="150" t="s">
        <v>665</v>
      </c>
      <c r="J98" s="150" t="s">
        <v>297</v>
      </c>
      <c r="K98" s="177">
        <v>0.2</v>
      </c>
      <c r="L98" s="177">
        <v>200</v>
      </c>
      <c r="M98" s="178" t="s">
        <v>308</v>
      </c>
      <c r="N98" s="179" t="s">
        <v>661</v>
      </c>
      <c r="O98" s="178" t="s">
        <v>299</v>
      </c>
      <c r="P98" s="178" t="s">
        <v>304</v>
      </c>
      <c r="Q98" s="178" t="s">
        <v>328</v>
      </c>
      <c r="R98" s="178" t="s">
        <v>302</v>
      </c>
      <c r="S98" s="179" t="s">
        <v>666</v>
      </c>
    </row>
    <row r="99" spans="1:35" ht="85" outlineLevel="1">
      <c r="A99" s="144" t="s">
        <v>357</v>
      </c>
      <c r="B99" s="149" t="s">
        <v>12</v>
      </c>
      <c r="C99" s="150" t="s">
        <v>13</v>
      </c>
      <c r="D99" s="150" t="s">
        <v>667</v>
      </c>
      <c r="E99" s="150" t="s">
        <v>668</v>
      </c>
      <c r="F99" s="150" t="s">
        <v>303</v>
      </c>
      <c r="G99" s="150" t="s">
        <v>322</v>
      </c>
      <c r="H99" s="150" t="s">
        <v>628</v>
      </c>
      <c r="I99" s="150" t="s">
        <v>669</v>
      </c>
      <c r="J99" s="150" t="s">
        <v>297</v>
      </c>
      <c r="K99" s="177">
        <v>8</v>
      </c>
      <c r="L99" s="177">
        <v>12</v>
      </c>
      <c r="M99" s="178" t="s">
        <v>308</v>
      </c>
      <c r="N99" s="178"/>
      <c r="O99" s="178" t="s">
        <v>299</v>
      </c>
      <c r="P99" s="178" t="s">
        <v>304</v>
      </c>
      <c r="Q99" s="178" t="s">
        <v>328</v>
      </c>
      <c r="R99" s="178" t="s">
        <v>302</v>
      </c>
      <c r="S99" s="179" t="s">
        <v>670</v>
      </c>
    </row>
    <row r="100" spans="1:35" ht="119" outlineLevel="1">
      <c r="A100" s="144" t="s">
        <v>357</v>
      </c>
      <c r="B100" s="149" t="s">
        <v>12</v>
      </c>
      <c r="C100" s="150" t="s">
        <v>13</v>
      </c>
      <c r="D100" s="150" t="s">
        <v>671</v>
      </c>
      <c r="E100" s="150" t="s">
        <v>672</v>
      </c>
      <c r="F100" s="150" t="s">
        <v>303</v>
      </c>
      <c r="G100" s="150" t="s">
        <v>673</v>
      </c>
      <c r="H100" s="150" t="s">
        <v>674</v>
      </c>
      <c r="I100" s="150" t="s">
        <v>669</v>
      </c>
      <c r="J100" s="150" t="s">
        <v>297</v>
      </c>
      <c r="K100" s="177">
        <v>0.5</v>
      </c>
      <c r="L100" s="177">
        <v>3</v>
      </c>
      <c r="M100" s="178" t="s">
        <v>298</v>
      </c>
      <c r="N100" s="178" t="s">
        <v>421</v>
      </c>
      <c r="O100" s="178" t="s">
        <v>299</v>
      </c>
      <c r="P100" s="178" t="s">
        <v>304</v>
      </c>
      <c r="Q100" s="178" t="s">
        <v>328</v>
      </c>
      <c r="R100" s="178" t="s">
        <v>302</v>
      </c>
      <c r="S100" s="179" t="s">
        <v>670</v>
      </c>
    </row>
    <row r="101" spans="1:35" ht="136" outlineLevel="1">
      <c r="A101" s="144" t="s">
        <v>357</v>
      </c>
      <c r="B101" s="149" t="s">
        <v>12</v>
      </c>
      <c r="C101" s="150" t="s">
        <v>13</v>
      </c>
      <c r="D101" s="150" t="s">
        <v>675</v>
      </c>
      <c r="E101" s="150" t="s">
        <v>676</v>
      </c>
      <c r="F101" s="150" t="s">
        <v>303</v>
      </c>
      <c r="G101" s="150" t="s">
        <v>673</v>
      </c>
      <c r="H101" s="150" t="s">
        <v>677</v>
      </c>
      <c r="I101" s="150" t="s">
        <v>678</v>
      </c>
      <c r="J101" s="150" t="s">
        <v>297</v>
      </c>
      <c r="K101" s="177">
        <v>0.5</v>
      </c>
      <c r="L101" s="177">
        <v>108</v>
      </c>
      <c r="M101" s="178" t="s">
        <v>298</v>
      </c>
      <c r="N101" s="178" t="s">
        <v>421</v>
      </c>
      <c r="O101" s="178" t="s">
        <v>299</v>
      </c>
      <c r="P101" s="178" t="s">
        <v>304</v>
      </c>
      <c r="Q101" s="178" t="s">
        <v>328</v>
      </c>
      <c r="R101" s="178" t="s">
        <v>302</v>
      </c>
      <c r="S101" s="179" t="s">
        <v>670</v>
      </c>
    </row>
    <row r="102" spans="1:35" ht="170" outlineLevel="1">
      <c r="A102" s="144" t="s">
        <v>357</v>
      </c>
      <c r="B102" s="149" t="s">
        <v>12</v>
      </c>
      <c r="C102" s="150" t="s">
        <v>13</v>
      </c>
      <c r="D102" s="150" t="s">
        <v>679</v>
      </c>
      <c r="E102" s="150" t="s">
        <v>680</v>
      </c>
      <c r="F102" s="150" t="s">
        <v>303</v>
      </c>
      <c r="G102" s="150" t="s">
        <v>681</v>
      </c>
      <c r="H102" s="150" t="s">
        <v>682</v>
      </c>
      <c r="I102" s="150" t="s">
        <v>683</v>
      </c>
      <c r="J102" s="150" t="s">
        <v>297</v>
      </c>
      <c r="K102" s="177">
        <v>0.1</v>
      </c>
      <c r="L102" s="177">
        <v>870</v>
      </c>
      <c r="M102" s="178" t="s">
        <v>298</v>
      </c>
      <c r="N102" s="179" t="s">
        <v>552</v>
      </c>
      <c r="O102" s="178" t="s">
        <v>299</v>
      </c>
      <c r="P102" s="178" t="s">
        <v>300</v>
      </c>
      <c r="Q102" s="178" t="s">
        <v>305</v>
      </c>
      <c r="R102" s="178" t="s">
        <v>302</v>
      </c>
      <c r="S102" s="178"/>
    </row>
    <row r="103" spans="1:35" ht="282" customHeight="1" outlineLevel="1">
      <c r="A103" s="144" t="s">
        <v>357</v>
      </c>
      <c r="B103" s="149" t="s">
        <v>12</v>
      </c>
      <c r="C103" s="150" t="s">
        <v>13</v>
      </c>
      <c r="D103" s="150" t="s">
        <v>684</v>
      </c>
      <c r="E103" s="150" t="s">
        <v>604</v>
      </c>
      <c r="F103" s="150" t="s">
        <v>303</v>
      </c>
      <c r="G103" s="150" t="s">
        <v>627</v>
      </c>
      <c r="H103" s="150" t="s">
        <v>685</v>
      </c>
      <c r="I103" s="150" t="s">
        <v>686</v>
      </c>
      <c r="J103" s="150" t="s">
        <v>297</v>
      </c>
      <c r="K103" s="177">
        <v>8</v>
      </c>
      <c r="L103" s="177">
        <v>1</v>
      </c>
      <c r="M103" s="178" t="s">
        <v>298</v>
      </c>
      <c r="N103" s="179" t="s">
        <v>637</v>
      </c>
      <c r="O103" s="178" t="s">
        <v>299</v>
      </c>
      <c r="P103" s="178" t="s">
        <v>300</v>
      </c>
      <c r="Q103" s="178" t="s">
        <v>305</v>
      </c>
      <c r="R103" s="178" t="s">
        <v>302</v>
      </c>
      <c r="S103" s="178"/>
    </row>
    <row r="104" spans="1:35" s="87" customFormat="1" ht="60.75" customHeight="1">
      <c r="A104" s="158" t="s">
        <v>357</v>
      </c>
      <c r="B104" s="158" t="s">
        <v>9</v>
      </c>
      <c r="C104" s="157" t="s">
        <v>614</v>
      </c>
      <c r="D104" s="159" t="s">
        <v>687</v>
      </c>
      <c r="E104" s="159" t="s">
        <v>688</v>
      </c>
      <c r="F104" s="159" t="s">
        <v>303</v>
      </c>
      <c r="G104" s="157" t="s">
        <v>617</v>
      </c>
      <c r="H104" s="159" t="s">
        <v>689</v>
      </c>
      <c r="I104" s="159" t="s">
        <v>690</v>
      </c>
      <c r="J104" s="159" t="s">
        <v>319</v>
      </c>
      <c r="K104" s="125">
        <f t="shared" ref="K104:L105" si="1">K105+K106+K107+K111+K112+K113+K116</f>
        <v>322.10000000000002</v>
      </c>
      <c r="L104" s="125">
        <f t="shared" si="1"/>
        <v>385</v>
      </c>
      <c r="M104" s="182" t="s">
        <v>298</v>
      </c>
      <c r="N104" s="183" t="s">
        <v>691</v>
      </c>
      <c r="O104" s="182"/>
      <c r="P104" s="182" t="s">
        <v>300</v>
      </c>
      <c r="Q104" s="182" t="s">
        <v>305</v>
      </c>
      <c r="R104" s="182" t="s">
        <v>302</v>
      </c>
      <c r="S104" s="182"/>
    </row>
    <row r="105" spans="1:35" s="88" customFormat="1" ht="112.5" customHeight="1" outlineLevel="1">
      <c r="A105" s="144" t="s">
        <v>357</v>
      </c>
      <c r="B105" s="149" t="s">
        <v>12</v>
      </c>
      <c r="C105" s="150" t="s">
        <v>13</v>
      </c>
      <c r="D105" s="150" t="s">
        <v>692</v>
      </c>
      <c r="E105" s="150" t="s">
        <v>693</v>
      </c>
      <c r="F105" s="150" t="s">
        <v>303</v>
      </c>
      <c r="G105" s="150" t="s">
        <v>421</v>
      </c>
      <c r="H105" s="150" t="s">
        <v>689</v>
      </c>
      <c r="I105" s="150" t="s">
        <v>694</v>
      </c>
      <c r="J105" s="150" t="s">
        <v>297</v>
      </c>
      <c r="K105" s="125">
        <f t="shared" si="1"/>
        <v>176.8</v>
      </c>
      <c r="L105" s="125">
        <f t="shared" si="1"/>
        <v>166</v>
      </c>
      <c r="M105" s="178" t="s">
        <v>298</v>
      </c>
      <c r="N105" s="400" t="s">
        <v>691</v>
      </c>
      <c r="O105" s="178"/>
      <c r="P105" s="178" t="s">
        <v>304</v>
      </c>
      <c r="Q105" s="178" t="s">
        <v>328</v>
      </c>
      <c r="R105" s="178" t="s">
        <v>302</v>
      </c>
      <c r="S105" s="178" t="s">
        <v>695</v>
      </c>
      <c r="T105" s="79"/>
      <c r="U105" s="79"/>
      <c r="V105" s="79"/>
      <c r="W105" s="79"/>
      <c r="X105" s="79"/>
      <c r="Y105" s="79"/>
      <c r="Z105" s="79"/>
      <c r="AA105" s="79"/>
      <c r="AB105" s="79"/>
      <c r="AC105" s="79"/>
      <c r="AD105" s="79"/>
      <c r="AE105" s="79"/>
      <c r="AF105" s="79"/>
      <c r="AG105" s="79"/>
      <c r="AH105" s="79"/>
      <c r="AI105" s="79"/>
    </row>
    <row r="106" spans="1:35" ht="204">
      <c r="A106" s="160" t="s">
        <v>357</v>
      </c>
      <c r="B106" s="100" t="s">
        <v>17</v>
      </c>
      <c r="C106" s="100" t="s">
        <v>18</v>
      </c>
      <c r="D106" s="100" t="s">
        <v>696</v>
      </c>
      <c r="E106" s="101" t="s">
        <v>697</v>
      </c>
      <c r="F106" s="101" t="s">
        <v>303</v>
      </c>
      <c r="G106" s="101" t="s">
        <v>698</v>
      </c>
      <c r="H106" s="101" t="s">
        <v>699</v>
      </c>
      <c r="I106" s="101" t="s">
        <v>700</v>
      </c>
      <c r="J106" s="125" t="s">
        <v>312</v>
      </c>
      <c r="K106" s="125">
        <f>K107+K108+K109+K113+K114+K115+K118</f>
        <v>112</v>
      </c>
      <c r="L106" s="125">
        <f>L107+L108+L109+L113+L114+L115+L118</f>
        <v>42</v>
      </c>
      <c r="M106" s="99" t="s">
        <v>298</v>
      </c>
      <c r="N106" s="100" t="s">
        <v>467</v>
      </c>
      <c r="O106" s="99" t="s">
        <v>299</v>
      </c>
      <c r="P106" s="99" t="s">
        <v>300</v>
      </c>
      <c r="Q106" s="99" t="s">
        <v>305</v>
      </c>
      <c r="R106" s="99" t="s">
        <v>302</v>
      </c>
      <c r="S106" s="99"/>
    </row>
    <row r="107" spans="1:35" ht="119" outlineLevel="1">
      <c r="A107" s="161" t="s">
        <v>357</v>
      </c>
      <c r="B107" s="103" t="s">
        <v>17</v>
      </c>
      <c r="C107" s="103" t="s">
        <v>18</v>
      </c>
      <c r="D107" s="162" t="s">
        <v>701</v>
      </c>
      <c r="E107" s="162" t="s">
        <v>526</v>
      </c>
      <c r="F107" s="162" t="s">
        <v>303</v>
      </c>
      <c r="G107" s="162" t="s">
        <v>322</v>
      </c>
      <c r="H107" s="162" t="s">
        <v>689</v>
      </c>
      <c r="I107" s="162" t="s">
        <v>702</v>
      </c>
      <c r="J107" s="184" t="s">
        <v>312</v>
      </c>
      <c r="K107" s="184">
        <v>16</v>
      </c>
      <c r="L107" s="184">
        <v>4</v>
      </c>
      <c r="M107" s="102" t="s">
        <v>298</v>
      </c>
      <c r="N107" s="103" t="s">
        <v>703</v>
      </c>
      <c r="O107" s="102" t="s">
        <v>299</v>
      </c>
      <c r="P107" s="102" t="s">
        <v>304</v>
      </c>
      <c r="Q107" s="102" t="s">
        <v>301</v>
      </c>
      <c r="R107" s="102" t="s">
        <v>302</v>
      </c>
      <c r="S107" s="103" t="s">
        <v>704</v>
      </c>
    </row>
    <row r="108" spans="1:35" ht="68" outlineLevel="1">
      <c r="A108" s="161" t="s">
        <v>357</v>
      </c>
      <c r="B108" s="103" t="s">
        <v>17</v>
      </c>
      <c r="C108" s="103" t="s">
        <v>18</v>
      </c>
      <c r="D108" s="162" t="s">
        <v>705</v>
      </c>
      <c r="E108" s="162" t="s">
        <v>526</v>
      </c>
      <c r="F108" s="162" t="s">
        <v>303</v>
      </c>
      <c r="G108" s="162" t="s">
        <v>322</v>
      </c>
      <c r="H108" s="162" t="s">
        <v>689</v>
      </c>
      <c r="I108" s="162" t="s">
        <v>706</v>
      </c>
      <c r="J108" s="184" t="s">
        <v>312</v>
      </c>
      <c r="K108" s="162">
        <v>8</v>
      </c>
      <c r="L108" s="162">
        <v>4</v>
      </c>
      <c r="M108" s="102" t="s">
        <v>298</v>
      </c>
      <c r="N108" s="103" t="s">
        <v>707</v>
      </c>
      <c r="O108" s="102" t="s">
        <v>299</v>
      </c>
      <c r="P108" s="102" t="s">
        <v>304</v>
      </c>
      <c r="Q108" s="102" t="s">
        <v>301</v>
      </c>
      <c r="R108" s="102" t="s">
        <v>302</v>
      </c>
      <c r="S108" s="103" t="s">
        <v>704</v>
      </c>
    </row>
    <row r="109" spans="1:35" ht="68" outlineLevel="1">
      <c r="A109" s="161" t="s">
        <v>357</v>
      </c>
      <c r="B109" s="103" t="s">
        <v>17</v>
      </c>
      <c r="C109" s="103" t="s">
        <v>18</v>
      </c>
      <c r="D109" s="104" t="s">
        <v>708</v>
      </c>
      <c r="E109" s="162" t="s">
        <v>526</v>
      </c>
      <c r="F109" s="104" t="s">
        <v>303</v>
      </c>
      <c r="G109" s="104" t="s">
        <v>322</v>
      </c>
      <c r="H109" s="104" t="s">
        <v>709</v>
      </c>
      <c r="I109" s="104" t="s">
        <v>710</v>
      </c>
      <c r="J109" s="184" t="s">
        <v>312</v>
      </c>
      <c r="K109" s="127">
        <v>16</v>
      </c>
      <c r="L109" s="127">
        <v>12</v>
      </c>
      <c r="M109" s="102" t="s">
        <v>298</v>
      </c>
      <c r="N109" s="103" t="s">
        <v>332</v>
      </c>
      <c r="O109" s="102" t="s">
        <v>299</v>
      </c>
      <c r="P109" s="102" t="s">
        <v>304</v>
      </c>
      <c r="Q109" s="102" t="s">
        <v>328</v>
      </c>
      <c r="R109" s="102" t="s">
        <v>302</v>
      </c>
      <c r="S109" s="103" t="s">
        <v>711</v>
      </c>
    </row>
    <row r="110" spans="1:35" ht="119" outlineLevel="1">
      <c r="A110" s="102" t="s">
        <v>357</v>
      </c>
      <c r="B110" s="103" t="s">
        <v>17</v>
      </c>
      <c r="C110" s="103" t="s">
        <v>18</v>
      </c>
      <c r="D110" s="104" t="s">
        <v>712</v>
      </c>
      <c r="E110" s="104" t="s">
        <v>652</v>
      </c>
      <c r="F110" s="104" t="s">
        <v>303</v>
      </c>
      <c r="G110" s="104" t="s">
        <v>322</v>
      </c>
      <c r="H110" s="104" t="s">
        <v>713</v>
      </c>
      <c r="I110" s="104" t="s">
        <v>714</v>
      </c>
      <c r="J110" s="184" t="s">
        <v>312</v>
      </c>
      <c r="K110" s="127">
        <v>40</v>
      </c>
      <c r="L110" s="127">
        <v>1</v>
      </c>
      <c r="M110" s="102" t="s">
        <v>298</v>
      </c>
      <c r="N110" s="103" t="s">
        <v>715</v>
      </c>
      <c r="O110" s="102" t="s">
        <v>299</v>
      </c>
      <c r="P110" s="102" t="s">
        <v>300</v>
      </c>
      <c r="Q110" s="102" t="s">
        <v>305</v>
      </c>
      <c r="R110" s="102" t="s">
        <v>302</v>
      </c>
      <c r="S110" s="103" t="s">
        <v>704</v>
      </c>
    </row>
    <row r="111" spans="1:35" ht="255" outlineLevel="1">
      <c r="A111" s="161" t="s">
        <v>357</v>
      </c>
      <c r="B111" s="103" t="s">
        <v>17</v>
      </c>
      <c r="C111" s="103" t="s">
        <v>18</v>
      </c>
      <c r="D111" s="104" t="s">
        <v>716</v>
      </c>
      <c r="E111" s="104" t="s">
        <v>652</v>
      </c>
      <c r="F111" s="104" t="s">
        <v>303</v>
      </c>
      <c r="G111" s="104" t="s">
        <v>322</v>
      </c>
      <c r="H111" s="104" t="s">
        <v>709</v>
      </c>
      <c r="I111" s="104" t="s">
        <v>717</v>
      </c>
      <c r="J111" s="184" t="s">
        <v>312</v>
      </c>
      <c r="K111" s="127">
        <v>0.5</v>
      </c>
      <c r="L111" s="127">
        <v>72</v>
      </c>
      <c r="M111" s="102" t="s">
        <v>298</v>
      </c>
      <c r="N111" s="103" t="s">
        <v>718</v>
      </c>
      <c r="O111" s="102" t="s">
        <v>299</v>
      </c>
      <c r="P111" s="102" t="s">
        <v>304</v>
      </c>
      <c r="Q111" s="102" t="s">
        <v>301</v>
      </c>
      <c r="R111" s="102" t="s">
        <v>302</v>
      </c>
      <c r="S111" s="103" t="s">
        <v>704</v>
      </c>
    </row>
    <row r="112" spans="1:35" ht="102" outlineLevel="1">
      <c r="A112" s="161" t="s">
        <v>357</v>
      </c>
      <c r="B112" s="103" t="s">
        <v>17</v>
      </c>
      <c r="C112" s="103" t="s">
        <v>18</v>
      </c>
      <c r="D112" s="104" t="s">
        <v>719</v>
      </c>
      <c r="E112" s="104" t="s">
        <v>720</v>
      </c>
      <c r="F112" s="104" t="s">
        <v>303</v>
      </c>
      <c r="G112" s="104" t="s">
        <v>322</v>
      </c>
      <c r="H112" s="104" t="s">
        <v>721</v>
      </c>
      <c r="I112" s="104" t="s">
        <v>722</v>
      </c>
      <c r="J112" s="184" t="s">
        <v>312</v>
      </c>
      <c r="K112" s="127">
        <v>0.3</v>
      </c>
      <c r="L112" s="127">
        <v>20</v>
      </c>
      <c r="M112" s="102" t="s">
        <v>298</v>
      </c>
      <c r="N112" s="102" t="s">
        <v>421</v>
      </c>
      <c r="O112" s="102" t="s">
        <v>299</v>
      </c>
      <c r="P112" s="102" t="s">
        <v>304</v>
      </c>
      <c r="Q112" s="102" t="s">
        <v>301</v>
      </c>
      <c r="R112" s="102" t="s">
        <v>302</v>
      </c>
      <c r="S112" s="103" t="s">
        <v>723</v>
      </c>
    </row>
    <row r="113" spans="1:19" ht="68" outlineLevel="1">
      <c r="A113" s="161" t="s">
        <v>357</v>
      </c>
      <c r="B113" s="103" t="s">
        <v>17</v>
      </c>
      <c r="C113" s="103" t="s">
        <v>18</v>
      </c>
      <c r="D113" s="104" t="s">
        <v>724</v>
      </c>
      <c r="E113" s="104" t="s">
        <v>526</v>
      </c>
      <c r="F113" s="104" t="s">
        <v>303</v>
      </c>
      <c r="G113" s="104" t="s">
        <v>322</v>
      </c>
      <c r="H113" s="104" t="s">
        <v>689</v>
      </c>
      <c r="I113" s="104" t="s">
        <v>725</v>
      </c>
      <c r="J113" s="184" t="s">
        <v>312</v>
      </c>
      <c r="K113" s="127">
        <v>16</v>
      </c>
      <c r="L113" s="127">
        <v>1</v>
      </c>
      <c r="M113" s="102" t="s">
        <v>298</v>
      </c>
      <c r="N113" s="103" t="s">
        <v>332</v>
      </c>
      <c r="O113" s="102" t="s">
        <v>299</v>
      </c>
      <c r="P113" s="102" t="s">
        <v>304</v>
      </c>
      <c r="Q113" s="102" t="s">
        <v>301</v>
      </c>
      <c r="R113" s="102" t="s">
        <v>302</v>
      </c>
      <c r="S113" s="103" t="s">
        <v>704</v>
      </c>
    </row>
    <row r="114" spans="1:19" ht="68" outlineLevel="1">
      <c r="A114" s="161" t="s">
        <v>357</v>
      </c>
      <c r="B114" s="103" t="s">
        <v>17</v>
      </c>
      <c r="C114" s="103" t="s">
        <v>18</v>
      </c>
      <c r="D114" s="104" t="s">
        <v>726</v>
      </c>
      <c r="E114" s="104" t="s">
        <v>526</v>
      </c>
      <c r="F114" s="104" t="s">
        <v>303</v>
      </c>
      <c r="G114" s="104" t="s">
        <v>322</v>
      </c>
      <c r="H114" s="104" t="s">
        <v>689</v>
      </c>
      <c r="I114" s="104" t="s">
        <v>725</v>
      </c>
      <c r="J114" s="184" t="s">
        <v>312</v>
      </c>
      <c r="K114" s="127">
        <v>24</v>
      </c>
      <c r="L114" s="127">
        <v>5</v>
      </c>
      <c r="M114" s="102" t="s">
        <v>298</v>
      </c>
      <c r="N114" s="103" t="s">
        <v>332</v>
      </c>
      <c r="O114" s="102" t="s">
        <v>299</v>
      </c>
      <c r="P114" s="102" t="s">
        <v>304</v>
      </c>
      <c r="Q114" s="102" t="s">
        <v>301</v>
      </c>
      <c r="R114" s="102" t="s">
        <v>302</v>
      </c>
      <c r="S114" s="103" t="s">
        <v>704</v>
      </c>
    </row>
    <row r="115" spans="1:19" ht="68" outlineLevel="1">
      <c r="A115" s="161" t="s">
        <v>357</v>
      </c>
      <c r="B115" s="103" t="s">
        <v>17</v>
      </c>
      <c r="C115" s="103" t="s">
        <v>18</v>
      </c>
      <c r="D115" s="104" t="s">
        <v>727</v>
      </c>
      <c r="E115" s="104" t="s">
        <v>652</v>
      </c>
      <c r="F115" s="104" t="s">
        <v>303</v>
      </c>
      <c r="G115" s="104" t="s">
        <v>322</v>
      </c>
      <c r="H115" s="103" t="s">
        <v>728</v>
      </c>
      <c r="I115" s="103" t="s">
        <v>729</v>
      </c>
      <c r="J115" s="184" t="s">
        <v>312</v>
      </c>
      <c r="K115" s="127">
        <v>16</v>
      </c>
      <c r="L115" s="127">
        <v>4</v>
      </c>
      <c r="M115" s="102" t="s">
        <v>298</v>
      </c>
      <c r="N115" s="103" t="s">
        <v>730</v>
      </c>
      <c r="O115" s="102" t="s">
        <v>299</v>
      </c>
      <c r="P115" s="102" t="s">
        <v>304</v>
      </c>
      <c r="Q115" s="102" t="s">
        <v>301</v>
      </c>
      <c r="R115" s="102" t="s">
        <v>302</v>
      </c>
      <c r="S115" s="103" t="s">
        <v>704</v>
      </c>
    </row>
    <row r="116" spans="1:19" ht="204" outlineLevel="1">
      <c r="A116" s="161" t="s">
        <v>357</v>
      </c>
      <c r="B116" s="103" t="s">
        <v>17</v>
      </c>
      <c r="C116" s="103" t="s">
        <v>18</v>
      </c>
      <c r="D116" s="104" t="s">
        <v>731</v>
      </c>
      <c r="E116" s="104" t="s">
        <v>652</v>
      </c>
      <c r="F116" s="104" t="s">
        <v>303</v>
      </c>
      <c r="G116" s="104" t="s">
        <v>732</v>
      </c>
      <c r="H116" s="103" t="s">
        <v>733</v>
      </c>
      <c r="I116" s="103" t="s">
        <v>734</v>
      </c>
      <c r="J116" s="184" t="s">
        <v>312</v>
      </c>
      <c r="K116" s="127">
        <v>0.5</v>
      </c>
      <c r="L116" s="127">
        <v>80</v>
      </c>
      <c r="M116" s="102" t="s">
        <v>298</v>
      </c>
      <c r="N116" s="103" t="s">
        <v>735</v>
      </c>
      <c r="O116" s="102" t="s">
        <v>299</v>
      </c>
      <c r="P116" s="102" t="s">
        <v>304</v>
      </c>
      <c r="Q116" s="102" t="s">
        <v>301</v>
      </c>
      <c r="R116" s="102" t="s">
        <v>302</v>
      </c>
      <c r="S116" s="103" t="s">
        <v>704</v>
      </c>
    </row>
    <row r="117" spans="1:19" ht="119" outlineLevel="1">
      <c r="A117" s="161" t="s">
        <v>357</v>
      </c>
      <c r="B117" s="103" t="s">
        <v>17</v>
      </c>
      <c r="C117" s="103" t="s">
        <v>18</v>
      </c>
      <c r="D117" s="104" t="s">
        <v>736</v>
      </c>
      <c r="E117" s="104" t="s">
        <v>652</v>
      </c>
      <c r="F117" s="104" t="s">
        <v>303</v>
      </c>
      <c r="G117" s="104" t="s">
        <v>737</v>
      </c>
      <c r="H117" s="103" t="s">
        <v>738</v>
      </c>
      <c r="I117" s="103" t="s">
        <v>739</v>
      </c>
      <c r="J117" s="184" t="s">
        <v>312</v>
      </c>
      <c r="K117" s="127">
        <v>0.5</v>
      </c>
      <c r="L117" s="127">
        <v>90</v>
      </c>
      <c r="M117" s="102" t="s">
        <v>298</v>
      </c>
      <c r="N117" s="103" t="s">
        <v>735</v>
      </c>
      <c r="O117" s="102" t="s">
        <v>299</v>
      </c>
      <c r="P117" s="102" t="s">
        <v>304</v>
      </c>
      <c r="Q117" s="102" t="s">
        <v>301</v>
      </c>
      <c r="R117" s="102" t="s">
        <v>302</v>
      </c>
      <c r="S117" s="103" t="s">
        <v>704</v>
      </c>
    </row>
    <row r="118" spans="1:19" ht="68" outlineLevel="1">
      <c r="A118" s="161" t="s">
        <v>357</v>
      </c>
      <c r="B118" s="103" t="s">
        <v>17</v>
      </c>
      <c r="C118" s="103" t="s">
        <v>18</v>
      </c>
      <c r="D118" s="104" t="s">
        <v>740</v>
      </c>
      <c r="E118" s="104" t="s">
        <v>652</v>
      </c>
      <c r="F118" s="104" t="s">
        <v>303</v>
      </c>
      <c r="G118" s="104" t="s">
        <v>322</v>
      </c>
      <c r="H118" s="104" t="s">
        <v>728</v>
      </c>
      <c r="I118" s="104" t="s">
        <v>741</v>
      </c>
      <c r="J118" s="184" t="s">
        <v>312</v>
      </c>
      <c r="K118" s="104">
        <v>16</v>
      </c>
      <c r="L118" s="104">
        <v>12</v>
      </c>
      <c r="M118" s="102" t="s">
        <v>298</v>
      </c>
      <c r="N118" s="103" t="s">
        <v>730</v>
      </c>
      <c r="O118" s="102" t="s">
        <v>299</v>
      </c>
      <c r="P118" s="102" t="s">
        <v>304</v>
      </c>
      <c r="Q118" s="102" t="s">
        <v>301</v>
      </c>
      <c r="R118" s="102" t="s">
        <v>302</v>
      </c>
      <c r="S118" s="103" t="s">
        <v>704</v>
      </c>
    </row>
    <row r="119" spans="1:19" ht="68" outlineLevel="1">
      <c r="A119" s="161" t="s">
        <v>357</v>
      </c>
      <c r="B119" s="103" t="s">
        <v>17</v>
      </c>
      <c r="C119" s="103" t="s">
        <v>18</v>
      </c>
      <c r="D119" s="104" t="s">
        <v>742</v>
      </c>
      <c r="E119" s="104" t="s">
        <v>652</v>
      </c>
      <c r="F119" s="104" t="s">
        <v>303</v>
      </c>
      <c r="G119" s="104" t="s">
        <v>322</v>
      </c>
      <c r="H119" s="103" t="s">
        <v>743</v>
      </c>
      <c r="I119" s="103" t="s">
        <v>729</v>
      </c>
      <c r="J119" s="184" t="s">
        <v>312</v>
      </c>
      <c r="K119" s="127">
        <v>16</v>
      </c>
      <c r="L119" s="127">
        <v>4</v>
      </c>
      <c r="M119" s="102" t="s">
        <v>298</v>
      </c>
      <c r="N119" s="103" t="s">
        <v>730</v>
      </c>
      <c r="O119" s="102" t="s">
        <v>299</v>
      </c>
      <c r="P119" s="102" t="s">
        <v>304</v>
      </c>
      <c r="Q119" s="102" t="s">
        <v>301</v>
      </c>
      <c r="R119" s="102" t="s">
        <v>302</v>
      </c>
      <c r="S119" s="103" t="s">
        <v>704</v>
      </c>
    </row>
    <row r="120" spans="1:19" ht="68" outlineLevel="1">
      <c r="A120" s="161" t="s">
        <v>357</v>
      </c>
      <c r="B120" s="103" t="s">
        <v>17</v>
      </c>
      <c r="C120" s="103" t="s">
        <v>18</v>
      </c>
      <c r="D120" s="104" t="s">
        <v>744</v>
      </c>
      <c r="E120" s="104" t="s">
        <v>652</v>
      </c>
      <c r="F120" s="104" t="s">
        <v>303</v>
      </c>
      <c r="G120" s="104" t="s">
        <v>322</v>
      </c>
      <c r="H120" s="104" t="s">
        <v>728</v>
      </c>
      <c r="I120" s="104" t="s">
        <v>741</v>
      </c>
      <c r="J120" s="184" t="s">
        <v>312</v>
      </c>
      <c r="K120" s="104">
        <v>16</v>
      </c>
      <c r="L120" s="104">
        <v>12</v>
      </c>
      <c r="M120" s="102" t="s">
        <v>298</v>
      </c>
      <c r="N120" s="103" t="s">
        <v>730</v>
      </c>
      <c r="O120" s="102" t="s">
        <v>299</v>
      </c>
      <c r="P120" s="102" t="s">
        <v>304</v>
      </c>
      <c r="Q120" s="102" t="s">
        <v>301</v>
      </c>
      <c r="R120" s="102" t="s">
        <v>302</v>
      </c>
      <c r="S120" s="103" t="s">
        <v>704</v>
      </c>
    </row>
    <row r="121" spans="1:19" ht="187" outlineLevel="1">
      <c r="A121" s="161" t="s">
        <v>357</v>
      </c>
      <c r="B121" s="103" t="s">
        <v>17</v>
      </c>
      <c r="C121" s="103" t="s">
        <v>18</v>
      </c>
      <c r="D121" s="104" t="s">
        <v>745</v>
      </c>
      <c r="E121" s="104" t="s">
        <v>652</v>
      </c>
      <c r="F121" s="104" t="s">
        <v>303</v>
      </c>
      <c r="G121" s="104" t="s">
        <v>746</v>
      </c>
      <c r="H121" s="104" t="s">
        <v>747</v>
      </c>
      <c r="I121" s="104" t="s">
        <v>748</v>
      </c>
      <c r="J121" s="184" t="s">
        <v>312</v>
      </c>
      <c r="K121" s="128">
        <v>0.5</v>
      </c>
      <c r="L121" s="128">
        <v>45</v>
      </c>
      <c r="M121" s="102" t="s">
        <v>298</v>
      </c>
      <c r="N121" s="103" t="s">
        <v>749</v>
      </c>
      <c r="O121" s="102" t="s">
        <v>299</v>
      </c>
      <c r="P121" s="102" t="s">
        <v>300</v>
      </c>
      <c r="Q121" s="102" t="s">
        <v>305</v>
      </c>
      <c r="R121" s="102" t="s">
        <v>302</v>
      </c>
      <c r="S121" s="103"/>
    </row>
    <row r="122" spans="1:19" s="82" customFormat="1" ht="85">
      <c r="A122" s="163" t="s">
        <v>357</v>
      </c>
      <c r="B122" s="164" t="s">
        <v>20</v>
      </c>
      <c r="C122" s="165" t="s">
        <v>21</v>
      </c>
      <c r="D122" s="166" t="s">
        <v>750</v>
      </c>
      <c r="E122" s="166" t="s">
        <v>307</v>
      </c>
      <c r="F122" s="412" t="s">
        <v>1322</v>
      </c>
      <c r="G122" s="166" t="s">
        <v>421</v>
      </c>
      <c r="H122" s="166" t="s">
        <v>751</v>
      </c>
      <c r="I122" s="166" t="s">
        <v>752</v>
      </c>
      <c r="J122" s="185" t="s">
        <v>312</v>
      </c>
      <c r="K122" s="186">
        <f>K123+K124+K125+K126+K127+K128+K129+K130+K131+K132+K133+K134+K135+K136+K137+K138+K140+K141+K142+K143+K144+K145+K146+K147+K148+K149+K150+K151</f>
        <v>842.5</v>
      </c>
      <c r="L122" s="186">
        <f>L123+L124+L125+L126+L127+L128+L129+L130+L131+L132+L133+L134+L135+L136+L137+L138+L140+L141+L142+L143+L144+L145+L146+L147+L148+L149+L150+L151</f>
        <v>242</v>
      </c>
      <c r="M122" s="186" t="s">
        <v>298</v>
      </c>
      <c r="N122" s="185" t="s">
        <v>753</v>
      </c>
      <c r="O122" s="186" t="s">
        <v>299</v>
      </c>
      <c r="P122" s="186" t="s">
        <v>304</v>
      </c>
      <c r="Q122" s="186" t="s">
        <v>301</v>
      </c>
      <c r="R122" s="186" t="s">
        <v>314</v>
      </c>
      <c r="S122" s="186" t="s">
        <v>381</v>
      </c>
    </row>
    <row r="123" spans="1:19" ht="85" outlineLevel="1">
      <c r="A123" s="163" t="s">
        <v>357</v>
      </c>
      <c r="B123" s="167" t="s">
        <v>20</v>
      </c>
      <c r="C123" s="168" t="s">
        <v>21</v>
      </c>
      <c r="D123" s="169" t="s">
        <v>754</v>
      </c>
      <c r="E123" s="169" t="s">
        <v>755</v>
      </c>
      <c r="F123" s="169" t="s">
        <v>303</v>
      </c>
      <c r="G123" s="170" t="s">
        <v>421</v>
      </c>
      <c r="H123" s="169" t="s">
        <v>410</v>
      </c>
      <c r="I123" s="169" t="s">
        <v>306</v>
      </c>
      <c r="J123" s="187" t="s">
        <v>312</v>
      </c>
      <c r="K123" s="188">
        <f>K141+K128+K37+K121</f>
        <v>152.5</v>
      </c>
      <c r="L123" s="188">
        <f>L141+L128+L37</f>
        <v>21</v>
      </c>
      <c r="M123" s="188" t="s">
        <v>298</v>
      </c>
      <c r="N123" s="187" t="s">
        <v>753</v>
      </c>
      <c r="O123" s="188" t="s">
        <v>299</v>
      </c>
      <c r="P123" s="188" t="s">
        <v>300</v>
      </c>
      <c r="Q123" s="188" t="s">
        <v>301</v>
      </c>
      <c r="R123" s="188" t="s">
        <v>314</v>
      </c>
      <c r="S123" s="188" t="s">
        <v>381</v>
      </c>
    </row>
    <row r="124" spans="1:19" ht="136" outlineLevel="1">
      <c r="A124" s="163" t="s">
        <v>357</v>
      </c>
      <c r="B124" s="167" t="s">
        <v>20</v>
      </c>
      <c r="C124" s="168" t="s">
        <v>21</v>
      </c>
      <c r="D124" s="169" t="s">
        <v>756</v>
      </c>
      <c r="E124" s="169" t="s">
        <v>757</v>
      </c>
      <c r="F124" s="169" t="s">
        <v>303</v>
      </c>
      <c r="G124" s="169" t="s">
        <v>758</v>
      </c>
      <c r="H124" s="169" t="s">
        <v>422</v>
      </c>
      <c r="I124" s="169" t="s">
        <v>306</v>
      </c>
      <c r="J124" s="187" t="s">
        <v>312</v>
      </c>
      <c r="K124" s="188">
        <v>2</v>
      </c>
      <c r="L124" s="188">
        <v>12</v>
      </c>
      <c r="M124" s="188" t="s">
        <v>298</v>
      </c>
      <c r="N124" s="187" t="s">
        <v>759</v>
      </c>
      <c r="O124" s="188" t="s">
        <v>299</v>
      </c>
      <c r="P124" s="188" t="s">
        <v>300</v>
      </c>
      <c r="Q124" s="188" t="s">
        <v>305</v>
      </c>
      <c r="R124" s="188" t="s">
        <v>302</v>
      </c>
      <c r="S124" s="186"/>
    </row>
    <row r="125" spans="1:19" ht="85" outlineLevel="1">
      <c r="A125" s="163" t="s">
        <v>357</v>
      </c>
      <c r="B125" s="167" t="s">
        <v>20</v>
      </c>
      <c r="C125" s="168" t="s">
        <v>21</v>
      </c>
      <c r="D125" s="169" t="s">
        <v>760</v>
      </c>
      <c r="E125" s="169" t="s">
        <v>757</v>
      </c>
      <c r="F125" s="169" t="s">
        <v>303</v>
      </c>
      <c r="G125" s="169" t="s">
        <v>331</v>
      </c>
      <c r="H125" s="169" t="s">
        <v>761</v>
      </c>
      <c r="I125" s="169" t="s">
        <v>306</v>
      </c>
      <c r="J125" s="187" t="s">
        <v>312</v>
      </c>
      <c r="K125" s="188">
        <v>8</v>
      </c>
      <c r="L125" s="188">
        <f>4+12+1</f>
        <v>17</v>
      </c>
      <c r="M125" s="188" t="s">
        <v>298</v>
      </c>
      <c r="N125" s="187" t="s">
        <v>762</v>
      </c>
      <c r="O125" s="188" t="s">
        <v>299</v>
      </c>
      <c r="P125" s="188" t="s">
        <v>300</v>
      </c>
      <c r="Q125" s="188" t="s">
        <v>305</v>
      </c>
      <c r="R125" s="188" t="s">
        <v>302</v>
      </c>
      <c r="S125" s="186"/>
    </row>
    <row r="126" spans="1:19" ht="85" outlineLevel="1">
      <c r="A126" s="163" t="s">
        <v>357</v>
      </c>
      <c r="B126" s="167" t="s">
        <v>20</v>
      </c>
      <c r="C126" s="168" t="s">
        <v>21</v>
      </c>
      <c r="D126" s="169" t="s">
        <v>763</v>
      </c>
      <c r="E126" s="169" t="s">
        <v>757</v>
      </c>
      <c r="F126" s="169" t="s">
        <v>303</v>
      </c>
      <c r="G126" s="170" t="s">
        <v>421</v>
      </c>
      <c r="H126" s="169" t="s">
        <v>410</v>
      </c>
      <c r="I126" s="169" t="s">
        <v>306</v>
      </c>
      <c r="J126" s="187" t="s">
        <v>312</v>
      </c>
      <c r="K126" s="188">
        <v>4</v>
      </c>
      <c r="L126" s="188">
        <v>12</v>
      </c>
      <c r="M126" s="188" t="s">
        <v>298</v>
      </c>
      <c r="N126" s="188" t="s">
        <v>421</v>
      </c>
      <c r="O126" s="188" t="s">
        <v>299</v>
      </c>
      <c r="P126" s="188" t="s">
        <v>300</v>
      </c>
      <c r="Q126" s="188" t="s">
        <v>305</v>
      </c>
      <c r="R126" s="188" t="s">
        <v>302</v>
      </c>
      <c r="S126" s="186"/>
    </row>
    <row r="127" spans="1:19" ht="85" outlineLevel="1">
      <c r="A127" s="163" t="s">
        <v>357</v>
      </c>
      <c r="B127" s="167" t="s">
        <v>20</v>
      </c>
      <c r="C127" s="168" t="s">
        <v>21</v>
      </c>
      <c r="D127" s="169" t="s">
        <v>764</v>
      </c>
      <c r="E127" s="169" t="s">
        <v>765</v>
      </c>
      <c r="F127" s="169" t="s">
        <v>303</v>
      </c>
      <c r="G127" s="170" t="s">
        <v>421</v>
      </c>
      <c r="H127" s="169" t="s">
        <v>422</v>
      </c>
      <c r="I127" s="169" t="s">
        <v>306</v>
      </c>
      <c r="J127" s="187" t="s">
        <v>312</v>
      </c>
      <c r="K127" s="188">
        <v>16</v>
      </c>
      <c r="L127" s="188">
        <v>4</v>
      </c>
      <c r="M127" s="188" t="s">
        <v>298</v>
      </c>
      <c r="N127" s="187" t="s">
        <v>753</v>
      </c>
      <c r="O127" s="188" t="s">
        <v>299</v>
      </c>
      <c r="P127" s="188" t="s">
        <v>304</v>
      </c>
      <c r="Q127" s="188" t="s">
        <v>328</v>
      </c>
      <c r="R127" s="188" t="s">
        <v>314</v>
      </c>
      <c r="S127" s="188" t="s">
        <v>381</v>
      </c>
    </row>
    <row r="128" spans="1:19" ht="170" outlineLevel="1">
      <c r="A128" s="163" t="s">
        <v>357</v>
      </c>
      <c r="B128" s="167" t="s">
        <v>20</v>
      </c>
      <c r="C128" s="168" t="s">
        <v>21</v>
      </c>
      <c r="D128" s="169" t="s">
        <v>766</v>
      </c>
      <c r="E128" s="169" t="s">
        <v>767</v>
      </c>
      <c r="F128" s="169" t="s">
        <v>303</v>
      </c>
      <c r="G128" s="170" t="s">
        <v>421</v>
      </c>
      <c r="H128" s="169" t="s">
        <v>422</v>
      </c>
      <c r="I128" s="169" t="s">
        <v>306</v>
      </c>
      <c r="J128" s="187" t="s">
        <v>312</v>
      </c>
      <c r="K128" s="188">
        <v>16</v>
      </c>
      <c r="L128" s="188">
        <v>12</v>
      </c>
      <c r="M128" s="188" t="s">
        <v>298</v>
      </c>
      <c r="N128" s="187" t="s">
        <v>753</v>
      </c>
      <c r="O128" s="188" t="s">
        <v>299</v>
      </c>
      <c r="P128" s="188" t="s">
        <v>304</v>
      </c>
      <c r="Q128" s="188" t="s">
        <v>328</v>
      </c>
      <c r="R128" s="188" t="s">
        <v>314</v>
      </c>
      <c r="S128" s="188" t="s">
        <v>381</v>
      </c>
    </row>
    <row r="129" spans="1:19" ht="85" outlineLevel="1">
      <c r="A129" s="163" t="s">
        <v>357</v>
      </c>
      <c r="B129" s="167" t="s">
        <v>20</v>
      </c>
      <c r="C129" s="168" t="s">
        <v>21</v>
      </c>
      <c r="D129" s="169" t="s">
        <v>768</v>
      </c>
      <c r="E129" s="169" t="s">
        <v>757</v>
      </c>
      <c r="F129" s="401" t="s">
        <v>303</v>
      </c>
      <c r="G129" s="170" t="s">
        <v>421</v>
      </c>
      <c r="H129" s="169" t="s">
        <v>410</v>
      </c>
      <c r="I129" s="169" t="s">
        <v>306</v>
      </c>
      <c r="J129" s="187" t="s">
        <v>312</v>
      </c>
      <c r="K129" s="188">
        <v>16</v>
      </c>
      <c r="L129" s="188">
        <v>4</v>
      </c>
      <c r="M129" s="188" t="s">
        <v>298</v>
      </c>
      <c r="N129" s="187" t="s">
        <v>753</v>
      </c>
      <c r="O129" s="188" t="s">
        <v>299</v>
      </c>
      <c r="P129" s="188" t="s">
        <v>304</v>
      </c>
      <c r="Q129" s="188" t="s">
        <v>328</v>
      </c>
      <c r="R129" s="188" t="s">
        <v>314</v>
      </c>
      <c r="S129" s="188" t="s">
        <v>381</v>
      </c>
    </row>
    <row r="130" spans="1:19" ht="85" outlineLevel="1">
      <c r="A130" s="163" t="s">
        <v>357</v>
      </c>
      <c r="B130" s="167" t="s">
        <v>20</v>
      </c>
      <c r="C130" s="168" t="s">
        <v>21</v>
      </c>
      <c r="D130" s="169" t="s">
        <v>769</v>
      </c>
      <c r="E130" s="169" t="s">
        <v>391</v>
      </c>
      <c r="F130" s="169" t="s">
        <v>303</v>
      </c>
      <c r="G130" s="170" t="s">
        <v>421</v>
      </c>
      <c r="H130" s="169" t="s">
        <v>770</v>
      </c>
      <c r="I130" s="169" t="s">
        <v>306</v>
      </c>
      <c r="J130" s="187" t="s">
        <v>312</v>
      </c>
      <c r="K130" s="188">
        <v>16</v>
      </c>
      <c r="L130" s="188">
        <v>2</v>
      </c>
      <c r="M130" s="188" t="s">
        <v>298</v>
      </c>
      <c r="N130" s="187" t="s">
        <v>753</v>
      </c>
      <c r="O130" s="188" t="s">
        <v>299</v>
      </c>
      <c r="P130" s="188" t="s">
        <v>304</v>
      </c>
      <c r="Q130" s="188" t="s">
        <v>328</v>
      </c>
      <c r="R130" s="188" t="s">
        <v>314</v>
      </c>
      <c r="S130" s="188" t="s">
        <v>381</v>
      </c>
    </row>
    <row r="131" spans="1:19" ht="85" outlineLevel="1">
      <c r="A131" s="163" t="s">
        <v>357</v>
      </c>
      <c r="B131" s="167" t="s">
        <v>20</v>
      </c>
      <c r="C131" s="168" t="s">
        <v>21</v>
      </c>
      <c r="D131" s="169" t="s">
        <v>771</v>
      </c>
      <c r="E131" s="169" t="s">
        <v>772</v>
      </c>
      <c r="F131" s="401" t="s">
        <v>303</v>
      </c>
      <c r="G131" s="170" t="s">
        <v>421</v>
      </c>
      <c r="H131" s="169" t="s">
        <v>770</v>
      </c>
      <c r="I131" s="169" t="s">
        <v>464</v>
      </c>
      <c r="J131" s="187" t="s">
        <v>312</v>
      </c>
      <c r="K131" s="188">
        <v>40</v>
      </c>
      <c r="L131" s="188">
        <v>2</v>
      </c>
      <c r="M131" s="188" t="s">
        <v>298</v>
      </c>
      <c r="N131" s="187" t="s">
        <v>753</v>
      </c>
      <c r="O131" s="188" t="s">
        <v>299</v>
      </c>
      <c r="P131" s="188" t="s">
        <v>304</v>
      </c>
      <c r="Q131" s="188" t="s">
        <v>328</v>
      </c>
      <c r="R131" s="188" t="s">
        <v>314</v>
      </c>
      <c r="S131" s="188" t="s">
        <v>381</v>
      </c>
    </row>
    <row r="132" spans="1:19" ht="85" outlineLevel="1">
      <c r="A132" s="163" t="s">
        <v>357</v>
      </c>
      <c r="B132" s="167" t="s">
        <v>20</v>
      </c>
      <c r="C132" s="168" t="s">
        <v>21</v>
      </c>
      <c r="D132" s="169" t="s">
        <v>773</v>
      </c>
      <c r="E132" s="169" t="s">
        <v>307</v>
      </c>
      <c r="F132" s="169" t="s">
        <v>303</v>
      </c>
      <c r="G132" s="170" t="s">
        <v>421</v>
      </c>
      <c r="H132" s="169" t="s">
        <v>422</v>
      </c>
      <c r="I132" s="169" t="s">
        <v>464</v>
      </c>
      <c r="J132" s="187" t="s">
        <v>312</v>
      </c>
      <c r="K132" s="188">
        <v>40</v>
      </c>
      <c r="L132" s="188">
        <v>2</v>
      </c>
      <c r="M132" s="188" t="s">
        <v>298</v>
      </c>
      <c r="N132" s="187" t="s">
        <v>753</v>
      </c>
      <c r="O132" s="188" t="s">
        <v>299</v>
      </c>
      <c r="P132" s="188" t="s">
        <v>304</v>
      </c>
      <c r="Q132" s="188" t="s">
        <v>328</v>
      </c>
      <c r="R132" s="188" t="s">
        <v>314</v>
      </c>
      <c r="S132" s="188" t="s">
        <v>381</v>
      </c>
    </row>
    <row r="133" spans="1:19" ht="85" outlineLevel="1">
      <c r="A133" s="163" t="s">
        <v>357</v>
      </c>
      <c r="B133" s="167" t="s">
        <v>20</v>
      </c>
      <c r="C133" s="168" t="s">
        <v>21</v>
      </c>
      <c r="D133" s="169" t="s">
        <v>774</v>
      </c>
      <c r="E133" s="169" t="s">
        <v>775</v>
      </c>
      <c r="F133" s="169" t="s">
        <v>303</v>
      </c>
      <c r="G133" s="170" t="s">
        <v>421</v>
      </c>
      <c r="H133" s="169" t="s">
        <v>776</v>
      </c>
      <c r="I133" s="169" t="s">
        <v>306</v>
      </c>
      <c r="J133" s="187" t="s">
        <v>312</v>
      </c>
      <c r="K133" s="188">
        <v>40</v>
      </c>
      <c r="L133" s="188">
        <v>4</v>
      </c>
      <c r="M133" s="188" t="s">
        <v>298</v>
      </c>
      <c r="N133" s="187" t="s">
        <v>753</v>
      </c>
      <c r="O133" s="188" t="s">
        <v>299</v>
      </c>
      <c r="P133" s="188" t="s">
        <v>304</v>
      </c>
      <c r="Q133" s="188" t="s">
        <v>328</v>
      </c>
      <c r="R133" s="188" t="s">
        <v>314</v>
      </c>
      <c r="S133" s="188" t="s">
        <v>381</v>
      </c>
    </row>
    <row r="134" spans="1:19" ht="85" outlineLevel="1">
      <c r="A134" s="163" t="s">
        <v>357</v>
      </c>
      <c r="B134" s="167" t="s">
        <v>20</v>
      </c>
      <c r="C134" s="168" t="s">
        <v>21</v>
      </c>
      <c r="D134" s="169" t="s">
        <v>777</v>
      </c>
      <c r="E134" s="169" t="s">
        <v>772</v>
      </c>
      <c r="F134" s="169" t="s">
        <v>303</v>
      </c>
      <c r="G134" s="170" t="s">
        <v>421</v>
      </c>
      <c r="H134" s="169" t="s">
        <v>422</v>
      </c>
      <c r="I134" s="169" t="s">
        <v>464</v>
      </c>
      <c r="J134" s="187" t="s">
        <v>312</v>
      </c>
      <c r="K134" s="188">
        <v>40</v>
      </c>
      <c r="L134" s="188">
        <v>2</v>
      </c>
      <c r="M134" s="188" t="s">
        <v>298</v>
      </c>
      <c r="N134" s="187" t="s">
        <v>753</v>
      </c>
      <c r="O134" s="188" t="s">
        <v>299</v>
      </c>
      <c r="P134" s="188" t="s">
        <v>304</v>
      </c>
      <c r="Q134" s="188" t="s">
        <v>328</v>
      </c>
      <c r="R134" s="188" t="s">
        <v>314</v>
      </c>
      <c r="S134" s="188" t="s">
        <v>381</v>
      </c>
    </row>
    <row r="135" spans="1:19" ht="85" outlineLevel="1">
      <c r="A135" s="163" t="s">
        <v>357</v>
      </c>
      <c r="B135" s="167" t="s">
        <v>20</v>
      </c>
      <c r="C135" s="168" t="s">
        <v>21</v>
      </c>
      <c r="D135" s="169" t="s">
        <v>778</v>
      </c>
      <c r="E135" s="169" t="s">
        <v>435</v>
      </c>
      <c r="F135" s="169" t="s">
        <v>303</v>
      </c>
      <c r="G135" s="170" t="s">
        <v>421</v>
      </c>
      <c r="H135" s="169" t="s">
        <v>410</v>
      </c>
      <c r="I135" s="169" t="s">
        <v>445</v>
      </c>
      <c r="J135" s="187" t="s">
        <v>312</v>
      </c>
      <c r="K135" s="188">
        <v>40</v>
      </c>
      <c r="L135" s="188">
        <v>4</v>
      </c>
      <c r="M135" s="188" t="s">
        <v>298</v>
      </c>
      <c r="N135" s="187" t="s">
        <v>753</v>
      </c>
      <c r="O135" s="188" t="s">
        <v>299</v>
      </c>
      <c r="P135" s="188" t="s">
        <v>304</v>
      </c>
      <c r="Q135" s="188" t="s">
        <v>328</v>
      </c>
      <c r="R135" s="188" t="s">
        <v>314</v>
      </c>
      <c r="S135" s="188" t="s">
        <v>381</v>
      </c>
    </row>
    <row r="136" spans="1:19" ht="85" outlineLevel="1">
      <c r="A136" s="163" t="s">
        <v>357</v>
      </c>
      <c r="B136" s="167" t="s">
        <v>20</v>
      </c>
      <c r="C136" s="168" t="s">
        <v>21</v>
      </c>
      <c r="D136" s="169" t="s">
        <v>779</v>
      </c>
      <c r="E136" s="169" t="s">
        <v>391</v>
      </c>
      <c r="F136" s="169" t="s">
        <v>303</v>
      </c>
      <c r="G136" s="170" t="s">
        <v>421</v>
      </c>
      <c r="H136" s="169" t="s">
        <v>410</v>
      </c>
      <c r="I136" s="169" t="s">
        <v>445</v>
      </c>
      <c r="J136" s="187" t="s">
        <v>312</v>
      </c>
      <c r="K136" s="188">
        <v>40</v>
      </c>
      <c r="L136" s="188">
        <v>4</v>
      </c>
      <c r="M136" s="188" t="s">
        <v>298</v>
      </c>
      <c r="N136" s="187" t="s">
        <v>753</v>
      </c>
      <c r="O136" s="188" t="s">
        <v>299</v>
      </c>
      <c r="P136" s="188" t="s">
        <v>304</v>
      </c>
      <c r="Q136" s="188" t="s">
        <v>328</v>
      </c>
      <c r="R136" s="188" t="s">
        <v>314</v>
      </c>
      <c r="S136" s="188" t="s">
        <v>381</v>
      </c>
    </row>
    <row r="137" spans="1:19" ht="85" outlineLevel="1">
      <c r="A137" s="163" t="s">
        <v>357</v>
      </c>
      <c r="B137" s="167" t="s">
        <v>20</v>
      </c>
      <c r="C137" s="168" t="s">
        <v>21</v>
      </c>
      <c r="D137" s="169" t="s">
        <v>780</v>
      </c>
      <c r="E137" s="169" t="s">
        <v>427</v>
      </c>
      <c r="F137" s="169" t="s">
        <v>303</v>
      </c>
      <c r="G137" s="170" t="s">
        <v>421</v>
      </c>
      <c r="H137" s="169" t="s">
        <v>410</v>
      </c>
      <c r="I137" s="169" t="s">
        <v>445</v>
      </c>
      <c r="J137" s="187" t="s">
        <v>312</v>
      </c>
      <c r="K137" s="188">
        <v>40</v>
      </c>
      <c r="L137" s="188">
        <v>4</v>
      </c>
      <c r="M137" s="188" t="s">
        <v>298</v>
      </c>
      <c r="N137" s="187" t="s">
        <v>753</v>
      </c>
      <c r="O137" s="188" t="s">
        <v>299</v>
      </c>
      <c r="P137" s="188" t="s">
        <v>304</v>
      </c>
      <c r="Q137" s="188" t="s">
        <v>328</v>
      </c>
      <c r="R137" s="188" t="s">
        <v>314</v>
      </c>
      <c r="S137" s="188" t="s">
        <v>381</v>
      </c>
    </row>
    <row r="138" spans="1:19" ht="85" outlineLevel="1">
      <c r="A138" s="163" t="s">
        <v>357</v>
      </c>
      <c r="B138" s="167" t="s">
        <v>20</v>
      </c>
      <c r="C138" s="168" t="s">
        <v>21</v>
      </c>
      <c r="D138" s="169" t="s">
        <v>781</v>
      </c>
      <c r="E138" s="169" t="s">
        <v>435</v>
      </c>
      <c r="F138" s="169" t="s">
        <v>303</v>
      </c>
      <c r="G138" s="170" t="s">
        <v>421</v>
      </c>
      <c r="H138" s="169" t="s">
        <v>410</v>
      </c>
      <c r="I138" s="169" t="s">
        <v>445</v>
      </c>
      <c r="J138" s="187" t="s">
        <v>312</v>
      </c>
      <c r="K138" s="188">
        <v>40</v>
      </c>
      <c r="L138" s="188">
        <v>4</v>
      </c>
      <c r="M138" s="188" t="s">
        <v>298</v>
      </c>
      <c r="N138" s="187" t="s">
        <v>753</v>
      </c>
      <c r="O138" s="188" t="s">
        <v>299</v>
      </c>
      <c r="P138" s="188" t="s">
        <v>304</v>
      </c>
      <c r="Q138" s="188" t="s">
        <v>328</v>
      </c>
      <c r="R138" s="188" t="s">
        <v>314</v>
      </c>
      <c r="S138" s="188" t="s">
        <v>381</v>
      </c>
    </row>
    <row r="139" spans="1:19" ht="85" outlineLevel="1">
      <c r="A139" s="163" t="s">
        <v>357</v>
      </c>
      <c r="B139" s="167" t="s">
        <v>20</v>
      </c>
      <c r="C139" s="168" t="s">
        <v>21</v>
      </c>
      <c r="D139" s="169" t="s">
        <v>782</v>
      </c>
      <c r="E139" s="169" t="s">
        <v>783</v>
      </c>
      <c r="F139" s="169" t="s">
        <v>303</v>
      </c>
      <c r="G139" s="170" t="s">
        <v>421</v>
      </c>
      <c r="H139" s="169" t="s">
        <v>422</v>
      </c>
      <c r="I139" s="169" t="s">
        <v>306</v>
      </c>
      <c r="J139" s="187" t="s">
        <v>312</v>
      </c>
      <c r="K139" s="188">
        <v>40</v>
      </c>
      <c r="L139" s="188">
        <v>2</v>
      </c>
      <c r="M139" s="188" t="s">
        <v>298</v>
      </c>
      <c r="N139" s="187" t="s">
        <v>753</v>
      </c>
      <c r="O139" s="188" t="s">
        <v>299</v>
      </c>
      <c r="P139" s="188" t="s">
        <v>304</v>
      </c>
      <c r="Q139" s="188" t="s">
        <v>328</v>
      </c>
      <c r="R139" s="188" t="s">
        <v>314</v>
      </c>
      <c r="S139" s="188" t="s">
        <v>381</v>
      </c>
    </row>
    <row r="140" spans="1:19" ht="85" outlineLevel="1">
      <c r="A140" s="163" t="s">
        <v>357</v>
      </c>
      <c r="B140" s="167" t="s">
        <v>20</v>
      </c>
      <c r="C140" s="168" t="s">
        <v>21</v>
      </c>
      <c r="D140" s="169" t="s">
        <v>784</v>
      </c>
      <c r="E140" s="169" t="s">
        <v>785</v>
      </c>
      <c r="F140" s="169" t="s">
        <v>303</v>
      </c>
      <c r="G140" s="170" t="s">
        <v>421</v>
      </c>
      <c r="H140" s="169" t="s">
        <v>422</v>
      </c>
      <c r="I140" s="169" t="s">
        <v>306</v>
      </c>
      <c r="J140" s="187" t="s">
        <v>312</v>
      </c>
      <c r="K140" s="188">
        <v>40</v>
      </c>
      <c r="L140" s="188">
        <v>2</v>
      </c>
      <c r="M140" s="188" t="s">
        <v>298</v>
      </c>
      <c r="N140" s="187" t="s">
        <v>753</v>
      </c>
      <c r="O140" s="188" t="s">
        <v>299</v>
      </c>
      <c r="P140" s="188" t="s">
        <v>304</v>
      </c>
      <c r="Q140" s="188" t="s">
        <v>328</v>
      </c>
      <c r="R140" s="188" t="s">
        <v>314</v>
      </c>
      <c r="S140" s="188" t="s">
        <v>381</v>
      </c>
    </row>
    <row r="141" spans="1:19" ht="102" outlineLevel="1">
      <c r="A141" s="163" t="s">
        <v>357</v>
      </c>
      <c r="B141" s="167" t="s">
        <v>20</v>
      </c>
      <c r="C141" s="168" t="s">
        <v>21</v>
      </c>
      <c r="D141" s="169" t="s">
        <v>786</v>
      </c>
      <c r="E141" s="169" t="s">
        <v>787</v>
      </c>
      <c r="F141" s="169" t="s">
        <v>303</v>
      </c>
      <c r="G141" s="170" t="s">
        <v>421</v>
      </c>
      <c r="H141" s="169" t="s">
        <v>410</v>
      </c>
      <c r="I141" s="169" t="s">
        <v>306</v>
      </c>
      <c r="J141" s="187" t="s">
        <v>312</v>
      </c>
      <c r="K141" s="188">
        <v>16</v>
      </c>
      <c r="L141" s="188">
        <v>8</v>
      </c>
      <c r="M141" s="188" t="s">
        <v>298</v>
      </c>
      <c r="N141" s="187" t="s">
        <v>753</v>
      </c>
      <c r="O141" s="188" t="s">
        <v>299</v>
      </c>
      <c r="P141" s="188" t="s">
        <v>304</v>
      </c>
      <c r="Q141" s="188" t="s">
        <v>328</v>
      </c>
      <c r="R141" s="188" t="s">
        <v>314</v>
      </c>
      <c r="S141" s="188" t="s">
        <v>381</v>
      </c>
    </row>
    <row r="142" spans="1:19" ht="119" outlineLevel="1">
      <c r="A142" s="163" t="s">
        <v>357</v>
      </c>
      <c r="B142" s="167" t="s">
        <v>20</v>
      </c>
      <c r="C142" s="168" t="s">
        <v>21</v>
      </c>
      <c r="D142" s="169" t="s">
        <v>788</v>
      </c>
      <c r="E142" s="169" t="s">
        <v>526</v>
      </c>
      <c r="F142" s="169" t="s">
        <v>303</v>
      </c>
      <c r="G142" s="170" t="s">
        <v>421</v>
      </c>
      <c r="H142" s="169" t="s">
        <v>410</v>
      </c>
      <c r="I142" s="169" t="s">
        <v>306</v>
      </c>
      <c r="J142" s="187" t="s">
        <v>312</v>
      </c>
      <c r="K142" s="188">
        <v>8</v>
      </c>
      <c r="L142" s="188">
        <v>12</v>
      </c>
      <c r="M142" s="188" t="s">
        <v>298</v>
      </c>
      <c r="N142" s="187" t="s">
        <v>753</v>
      </c>
      <c r="O142" s="188" t="s">
        <v>299</v>
      </c>
      <c r="P142" s="188" t="s">
        <v>304</v>
      </c>
      <c r="Q142" s="188" t="s">
        <v>328</v>
      </c>
      <c r="R142" s="188" t="s">
        <v>314</v>
      </c>
      <c r="S142" s="188" t="s">
        <v>381</v>
      </c>
    </row>
    <row r="143" spans="1:19" ht="85" outlineLevel="1">
      <c r="A143" s="163" t="s">
        <v>357</v>
      </c>
      <c r="B143" s="167" t="s">
        <v>20</v>
      </c>
      <c r="C143" s="168" t="s">
        <v>21</v>
      </c>
      <c r="D143" s="169" t="s">
        <v>789</v>
      </c>
      <c r="E143" s="169" t="s">
        <v>307</v>
      </c>
      <c r="F143" s="169" t="s">
        <v>303</v>
      </c>
      <c r="G143" s="170" t="s">
        <v>421</v>
      </c>
      <c r="H143" s="169" t="s">
        <v>689</v>
      </c>
      <c r="I143" s="169" t="s">
        <v>306</v>
      </c>
      <c r="J143" s="187" t="s">
        <v>312</v>
      </c>
      <c r="K143" s="188">
        <v>40</v>
      </c>
      <c r="L143" s="188">
        <v>4</v>
      </c>
      <c r="M143" s="188" t="s">
        <v>298</v>
      </c>
      <c r="N143" s="187" t="s">
        <v>753</v>
      </c>
      <c r="O143" s="188" t="s">
        <v>299</v>
      </c>
      <c r="P143" s="188" t="s">
        <v>304</v>
      </c>
      <c r="Q143" s="188" t="s">
        <v>328</v>
      </c>
      <c r="R143" s="188" t="s">
        <v>314</v>
      </c>
      <c r="S143" s="188" t="s">
        <v>381</v>
      </c>
    </row>
    <row r="144" spans="1:19" ht="85" outlineLevel="1">
      <c r="A144" s="163" t="s">
        <v>357</v>
      </c>
      <c r="B144" s="167" t="s">
        <v>20</v>
      </c>
      <c r="C144" s="168" t="s">
        <v>21</v>
      </c>
      <c r="D144" s="169" t="s">
        <v>790</v>
      </c>
      <c r="E144" s="169" t="s">
        <v>604</v>
      </c>
      <c r="F144" s="169" t="s">
        <v>303</v>
      </c>
      <c r="G144" s="170" t="s">
        <v>421</v>
      </c>
      <c r="H144" s="169" t="s">
        <v>422</v>
      </c>
      <c r="I144" s="169" t="s">
        <v>464</v>
      </c>
      <c r="J144" s="187" t="s">
        <v>312</v>
      </c>
      <c r="K144" s="188">
        <v>40</v>
      </c>
      <c r="L144" s="188">
        <v>2</v>
      </c>
      <c r="M144" s="188" t="s">
        <v>298</v>
      </c>
      <c r="N144" s="187" t="s">
        <v>753</v>
      </c>
      <c r="O144" s="188" t="s">
        <v>299</v>
      </c>
      <c r="P144" s="188" t="s">
        <v>304</v>
      </c>
      <c r="Q144" s="188" t="s">
        <v>328</v>
      </c>
      <c r="R144" s="188" t="s">
        <v>314</v>
      </c>
      <c r="S144" s="188" t="s">
        <v>381</v>
      </c>
    </row>
    <row r="145" spans="1:131" ht="85" outlineLevel="1">
      <c r="A145" s="163" t="s">
        <v>357</v>
      </c>
      <c r="B145" s="167" t="s">
        <v>20</v>
      </c>
      <c r="C145" s="168" t="s">
        <v>21</v>
      </c>
      <c r="D145" s="169" t="s">
        <v>791</v>
      </c>
      <c r="E145" s="169" t="s">
        <v>427</v>
      </c>
      <c r="F145" s="169" t="s">
        <v>303</v>
      </c>
      <c r="G145" s="170" t="s">
        <v>792</v>
      </c>
      <c r="H145" s="169" t="s">
        <v>414</v>
      </c>
      <c r="I145" s="169" t="s">
        <v>445</v>
      </c>
      <c r="J145" s="187" t="s">
        <v>312</v>
      </c>
      <c r="K145" s="188">
        <v>56</v>
      </c>
      <c r="L145" s="188">
        <v>2</v>
      </c>
      <c r="M145" s="188" t="s">
        <v>298</v>
      </c>
      <c r="N145" s="187" t="s">
        <v>793</v>
      </c>
      <c r="O145" s="188" t="s">
        <v>299</v>
      </c>
      <c r="P145" s="188" t="s">
        <v>300</v>
      </c>
      <c r="Q145" s="188" t="s">
        <v>305</v>
      </c>
      <c r="R145" s="188" t="s">
        <v>302</v>
      </c>
      <c r="S145" s="186"/>
    </row>
    <row r="146" spans="1:131" ht="85" outlineLevel="1">
      <c r="A146" s="163" t="s">
        <v>357</v>
      </c>
      <c r="B146" s="167" t="s">
        <v>20</v>
      </c>
      <c r="C146" s="168" t="s">
        <v>21</v>
      </c>
      <c r="D146" s="169" t="s">
        <v>794</v>
      </c>
      <c r="E146" s="169" t="s">
        <v>391</v>
      </c>
      <c r="F146" s="169" t="s">
        <v>303</v>
      </c>
      <c r="G146" s="170" t="s">
        <v>792</v>
      </c>
      <c r="H146" s="169" t="s">
        <v>414</v>
      </c>
      <c r="I146" s="169" t="s">
        <v>445</v>
      </c>
      <c r="J146" s="187" t="s">
        <v>312</v>
      </c>
      <c r="K146" s="188">
        <v>56</v>
      </c>
      <c r="L146" s="188">
        <v>2</v>
      </c>
      <c r="M146" s="188" t="s">
        <v>298</v>
      </c>
      <c r="N146" s="187" t="s">
        <v>793</v>
      </c>
      <c r="O146" s="188" t="s">
        <v>299</v>
      </c>
      <c r="P146" s="188" t="s">
        <v>300</v>
      </c>
      <c r="Q146" s="188" t="s">
        <v>305</v>
      </c>
      <c r="R146" s="188" t="s">
        <v>302</v>
      </c>
      <c r="S146" s="186"/>
    </row>
    <row r="147" spans="1:131" ht="85" outlineLevel="1">
      <c r="A147" s="163" t="s">
        <v>357</v>
      </c>
      <c r="B147" s="167" t="s">
        <v>20</v>
      </c>
      <c r="C147" s="168" t="s">
        <v>21</v>
      </c>
      <c r="D147" s="169" t="s">
        <v>795</v>
      </c>
      <c r="E147" s="169" t="s">
        <v>796</v>
      </c>
      <c r="F147" s="169" t="s">
        <v>303</v>
      </c>
      <c r="G147" s="170" t="s">
        <v>322</v>
      </c>
      <c r="H147" s="169" t="s">
        <v>444</v>
      </c>
      <c r="I147" s="169" t="s">
        <v>445</v>
      </c>
      <c r="J147" s="187" t="s">
        <v>312</v>
      </c>
      <c r="K147" s="188">
        <v>24</v>
      </c>
      <c r="L147" s="188">
        <v>12</v>
      </c>
      <c r="M147" s="188" t="s">
        <v>298</v>
      </c>
      <c r="N147" s="187" t="s">
        <v>753</v>
      </c>
      <c r="O147" s="188" t="s">
        <v>299</v>
      </c>
      <c r="P147" s="188" t="s">
        <v>300</v>
      </c>
      <c r="Q147" s="188" t="s">
        <v>305</v>
      </c>
      <c r="R147" s="188" t="s">
        <v>302</v>
      </c>
      <c r="S147" s="186"/>
    </row>
    <row r="148" spans="1:131" ht="85" outlineLevel="1">
      <c r="A148" s="163" t="s">
        <v>357</v>
      </c>
      <c r="B148" s="167" t="s">
        <v>20</v>
      </c>
      <c r="C148" s="168" t="s">
        <v>21</v>
      </c>
      <c r="D148" s="169" t="s">
        <v>797</v>
      </c>
      <c r="E148" s="169" t="s">
        <v>427</v>
      </c>
      <c r="F148" s="169" t="s">
        <v>303</v>
      </c>
      <c r="G148" s="169" t="s">
        <v>798</v>
      </c>
      <c r="H148" s="169" t="s">
        <v>444</v>
      </c>
      <c r="I148" s="169" t="s">
        <v>306</v>
      </c>
      <c r="J148" s="187" t="s">
        <v>312</v>
      </c>
      <c r="K148" s="188">
        <v>2</v>
      </c>
      <c r="L148" s="188">
        <v>52</v>
      </c>
      <c r="M148" s="188" t="s">
        <v>298</v>
      </c>
      <c r="N148" s="187" t="s">
        <v>753</v>
      </c>
      <c r="O148" s="188" t="s">
        <v>299</v>
      </c>
      <c r="P148" s="188" t="s">
        <v>300</v>
      </c>
      <c r="Q148" s="188" t="s">
        <v>305</v>
      </c>
      <c r="R148" s="188" t="s">
        <v>302</v>
      </c>
      <c r="S148" s="186"/>
    </row>
    <row r="149" spans="1:131" ht="85" outlineLevel="1">
      <c r="A149" s="163" t="s">
        <v>357</v>
      </c>
      <c r="B149" s="167" t="s">
        <v>20</v>
      </c>
      <c r="C149" s="168" t="s">
        <v>21</v>
      </c>
      <c r="D149" s="168" t="s">
        <v>799</v>
      </c>
      <c r="E149" s="169" t="s">
        <v>427</v>
      </c>
      <c r="F149" s="394" t="s">
        <v>296</v>
      </c>
      <c r="G149" s="169" t="s">
        <v>409</v>
      </c>
      <c r="H149" s="169" t="s">
        <v>444</v>
      </c>
      <c r="I149" s="169" t="s">
        <v>306</v>
      </c>
      <c r="J149" s="187" t="s">
        <v>312</v>
      </c>
      <c r="K149" s="188">
        <v>4</v>
      </c>
      <c r="L149" s="188">
        <v>12</v>
      </c>
      <c r="M149" s="188" t="s">
        <v>298</v>
      </c>
      <c r="N149" s="187" t="s">
        <v>753</v>
      </c>
      <c r="O149" s="188" t="s">
        <v>299</v>
      </c>
      <c r="P149" s="188" t="s">
        <v>300</v>
      </c>
      <c r="Q149" s="188" t="s">
        <v>305</v>
      </c>
      <c r="R149" s="188" t="s">
        <v>302</v>
      </c>
      <c r="S149" s="186"/>
    </row>
    <row r="150" spans="1:131" ht="119" outlineLevel="1">
      <c r="A150" s="163" t="s">
        <v>357</v>
      </c>
      <c r="B150" s="167" t="s">
        <v>20</v>
      </c>
      <c r="C150" s="168" t="s">
        <v>21</v>
      </c>
      <c r="D150" s="169" t="s">
        <v>800</v>
      </c>
      <c r="E150" s="169" t="s">
        <v>427</v>
      </c>
      <c r="F150" s="169" t="s">
        <v>303</v>
      </c>
      <c r="G150" s="169" t="s">
        <v>801</v>
      </c>
      <c r="H150" s="169" t="s">
        <v>802</v>
      </c>
      <c r="I150" s="169" t="s">
        <v>306</v>
      </c>
      <c r="J150" s="187" t="s">
        <v>312</v>
      </c>
      <c r="K150" s="188">
        <v>4</v>
      </c>
      <c r="L150" s="188">
        <v>12</v>
      </c>
      <c r="M150" s="188" t="s">
        <v>298</v>
      </c>
      <c r="N150" s="187" t="s">
        <v>803</v>
      </c>
      <c r="O150" s="188" t="s">
        <v>299</v>
      </c>
      <c r="P150" s="188" t="s">
        <v>300</v>
      </c>
      <c r="Q150" s="188" t="s">
        <v>305</v>
      </c>
      <c r="R150" s="188" t="s">
        <v>302</v>
      </c>
      <c r="S150" s="186"/>
    </row>
    <row r="151" spans="1:131" ht="85" outlineLevel="1">
      <c r="A151" s="163" t="s">
        <v>357</v>
      </c>
      <c r="B151" s="167" t="s">
        <v>20</v>
      </c>
      <c r="C151" s="168" t="s">
        <v>21</v>
      </c>
      <c r="D151" s="169" t="s">
        <v>804</v>
      </c>
      <c r="E151" s="169" t="s">
        <v>455</v>
      </c>
      <c r="F151" s="169" t="s">
        <v>303</v>
      </c>
      <c r="G151" s="169" t="s">
        <v>421</v>
      </c>
      <c r="H151" s="169" t="s">
        <v>322</v>
      </c>
      <c r="I151" s="169" t="s">
        <v>306</v>
      </c>
      <c r="J151" s="187" t="s">
        <v>312</v>
      </c>
      <c r="K151" s="188">
        <v>2</v>
      </c>
      <c r="L151" s="188">
        <v>12</v>
      </c>
      <c r="M151" s="188" t="s">
        <v>298</v>
      </c>
      <c r="N151" s="187" t="s">
        <v>753</v>
      </c>
      <c r="O151" s="188" t="s">
        <v>299</v>
      </c>
      <c r="P151" s="188" t="s">
        <v>304</v>
      </c>
      <c r="Q151" s="188" t="s">
        <v>328</v>
      </c>
      <c r="R151" s="188" t="s">
        <v>302</v>
      </c>
      <c r="S151" s="188" t="s">
        <v>695</v>
      </c>
    </row>
    <row r="152" spans="1:131" s="82" customFormat="1" ht="85">
      <c r="A152" s="189" t="s">
        <v>357</v>
      </c>
      <c r="B152" s="99" t="s">
        <v>5</v>
      </c>
      <c r="C152" s="100" t="s">
        <v>6</v>
      </c>
      <c r="D152" s="99" t="s">
        <v>805</v>
      </c>
      <c r="E152" s="99" t="s">
        <v>307</v>
      </c>
      <c r="F152" s="100" t="s">
        <v>303</v>
      </c>
      <c r="G152" s="100" t="s">
        <v>345</v>
      </c>
      <c r="H152" s="99" t="s">
        <v>512</v>
      </c>
      <c r="I152" s="100" t="s">
        <v>806</v>
      </c>
      <c r="J152" s="99" t="s">
        <v>312</v>
      </c>
      <c r="K152" s="208">
        <f>K153+K154+K155+K156+K157+K157+K158+K159+K160+K161+K162+K163+K164+K165+K166+K167+K168+K169</f>
        <v>84580</v>
      </c>
      <c r="L152" s="99">
        <f>L153+L154+L155+L156+L157+L157+L158+L159+L160+L161+L162+L163+L164+L165+L166+L167+L168+L169</f>
        <v>4492</v>
      </c>
      <c r="M152" s="99" t="s">
        <v>298</v>
      </c>
      <c r="N152" s="100" t="s">
        <v>807</v>
      </c>
      <c r="O152" s="99" t="s">
        <v>299</v>
      </c>
      <c r="P152" s="99" t="s">
        <v>300</v>
      </c>
      <c r="Q152" s="99" t="s">
        <v>305</v>
      </c>
      <c r="R152" s="99" t="s">
        <v>302</v>
      </c>
      <c r="S152" s="99"/>
    </row>
    <row r="153" spans="1:131" ht="119" outlineLevel="1">
      <c r="A153" s="189" t="s">
        <v>357</v>
      </c>
      <c r="B153" s="102" t="s">
        <v>5</v>
      </c>
      <c r="C153" s="103" t="s">
        <v>6</v>
      </c>
      <c r="D153" s="104" t="s">
        <v>808</v>
      </c>
      <c r="E153" s="103" t="s">
        <v>472</v>
      </c>
      <c r="F153" s="103" t="s">
        <v>303</v>
      </c>
      <c r="G153" s="102" t="s">
        <v>809</v>
      </c>
      <c r="H153" s="102" t="s">
        <v>512</v>
      </c>
      <c r="I153" s="103" t="s">
        <v>810</v>
      </c>
      <c r="J153" s="102" t="s">
        <v>312</v>
      </c>
      <c r="K153" s="209">
        <v>80</v>
      </c>
      <c r="L153" s="102">
        <v>60</v>
      </c>
      <c r="M153" s="102" t="s">
        <v>298</v>
      </c>
      <c r="N153" s="103" t="s">
        <v>807</v>
      </c>
      <c r="O153" s="102" t="s">
        <v>299</v>
      </c>
      <c r="P153" s="102" t="s">
        <v>300</v>
      </c>
      <c r="Q153" s="102" t="s">
        <v>305</v>
      </c>
      <c r="R153" s="102" t="s">
        <v>302</v>
      </c>
      <c r="S153" s="99"/>
    </row>
    <row r="154" spans="1:131" ht="102" outlineLevel="1">
      <c r="A154" s="189" t="s">
        <v>357</v>
      </c>
      <c r="B154" s="102" t="s">
        <v>5</v>
      </c>
      <c r="C154" s="103" t="s">
        <v>6</v>
      </c>
      <c r="D154" s="104" t="s">
        <v>811</v>
      </c>
      <c r="E154" s="103" t="s">
        <v>812</v>
      </c>
      <c r="F154" s="103" t="s">
        <v>303</v>
      </c>
      <c r="G154" s="103" t="s">
        <v>345</v>
      </c>
      <c r="H154" s="102" t="s">
        <v>512</v>
      </c>
      <c r="I154" s="103" t="s">
        <v>813</v>
      </c>
      <c r="J154" s="102" t="s">
        <v>312</v>
      </c>
      <c r="K154" s="102">
        <v>8</v>
      </c>
      <c r="L154" s="102">
        <v>1</v>
      </c>
      <c r="M154" s="102" t="s">
        <v>298</v>
      </c>
      <c r="N154" s="102" t="s">
        <v>351</v>
      </c>
      <c r="O154" s="102" t="s">
        <v>299</v>
      </c>
      <c r="P154" s="102" t="s">
        <v>300</v>
      </c>
      <c r="Q154" s="102" t="s">
        <v>305</v>
      </c>
      <c r="R154" s="102" t="s">
        <v>302</v>
      </c>
      <c r="S154" s="102"/>
    </row>
    <row r="155" spans="1:131" ht="68" outlineLevel="1">
      <c r="A155" s="189" t="s">
        <v>357</v>
      </c>
      <c r="B155" s="102" t="s">
        <v>5</v>
      </c>
      <c r="C155" s="103" t="s">
        <v>6</v>
      </c>
      <c r="D155" s="107" t="s">
        <v>814</v>
      </c>
      <c r="E155" s="103" t="s">
        <v>815</v>
      </c>
      <c r="F155" s="103" t="s">
        <v>303</v>
      </c>
      <c r="G155" s="103" t="s">
        <v>345</v>
      </c>
      <c r="H155" s="103" t="s">
        <v>512</v>
      </c>
      <c r="I155" s="102" t="s">
        <v>816</v>
      </c>
      <c r="J155" s="102" t="s">
        <v>312</v>
      </c>
      <c r="K155" s="102" t="s">
        <v>817</v>
      </c>
      <c r="L155" s="102">
        <v>257</v>
      </c>
      <c r="M155" s="102" t="s">
        <v>298</v>
      </c>
      <c r="N155" s="102" t="s">
        <v>501</v>
      </c>
      <c r="O155" s="102" t="s">
        <v>299</v>
      </c>
      <c r="P155" s="102" t="s">
        <v>304</v>
      </c>
      <c r="Q155" s="102" t="s">
        <v>328</v>
      </c>
      <c r="R155" s="102" t="s">
        <v>314</v>
      </c>
      <c r="S155" s="102" t="s">
        <v>381</v>
      </c>
    </row>
    <row r="156" spans="1:131" ht="68" outlineLevel="1">
      <c r="A156" s="99" t="s">
        <v>357</v>
      </c>
      <c r="B156" s="102" t="s">
        <v>5</v>
      </c>
      <c r="C156" s="103" t="s">
        <v>6</v>
      </c>
      <c r="D156" s="107" t="s">
        <v>818</v>
      </c>
      <c r="E156" s="103" t="s">
        <v>391</v>
      </c>
      <c r="F156" s="103" t="s">
        <v>303</v>
      </c>
      <c r="G156" s="103" t="s">
        <v>345</v>
      </c>
      <c r="H156" s="190" t="s">
        <v>512</v>
      </c>
      <c r="I156" s="192" t="s">
        <v>816</v>
      </c>
      <c r="J156" s="102" t="s">
        <v>312</v>
      </c>
      <c r="K156" s="192" t="s">
        <v>819</v>
      </c>
      <c r="L156" s="192">
        <v>1176</v>
      </c>
      <c r="M156" s="102" t="s">
        <v>298</v>
      </c>
      <c r="N156" s="102" t="s">
        <v>501</v>
      </c>
      <c r="O156" s="102" t="s">
        <v>299</v>
      </c>
      <c r="P156" s="102" t="s">
        <v>304</v>
      </c>
      <c r="Q156" s="102" t="s">
        <v>328</v>
      </c>
      <c r="R156" s="102" t="s">
        <v>314</v>
      </c>
      <c r="S156" s="102" t="s">
        <v>381</v>
      </c>
    </row>
    <row r="157" spans="1:131" s="78" customFormat="1" ht="45" customHeight="1" outlineLevel="1">
      <c r="A157" s="99" t="s">
        <v>357</v>
      </c>
      <c r="B157" s="102" t="s">
        <v>5</v>
      </c>
      <c r="C157" s="103" t="s">
        <v>6</v>
      </c>
      <c r="D157" s="104" t="s">
        <v>820</v>
      </c>
      <c r="E157" s="103" t="s">
        <v>427</v>
      </c>
      <c r="F157" s="103" t="s">
        <v>303</v>
      </c>
      <c r="G157" s="103" t="s">
        <v>345</v>
      </c>
      <c r="H157" s="190" t="s">
        <v>512</v>
      </c>
      <c r="I157" s="192" t="s">
        <v>816</v>
      </c>
      <c r="J157" s="102" t="s">
        <v>312</v>
      </c>
      <c r="K157" s="102">
        <v>2</v>
      </c>
      <c r="L157" s="192">
        <v>352</v>
      </c>
      <c r="M157" s="102" t="s">
        <v>298</v>
      </c>
      <c r="N157" s="102" t="s">
        <v>501</v>
      </c>
      <c r="O157" s="102" t="s">
        <v>299</v>
      </c>
      <c r="P157" s="102" t="s">
        <v>304</v>
      </c>
      <c r="Q157" s="102" t="s">
        <v>328</v>
      </c>
      <c r="R157" s="102" t="s">
        <v>314</v>
      </c>
      <c r="S157" s="102" t="s">
        <v>381</v>
      </c>
      <c r="T157" s="79"/>
      <c r="U157" s="79"/>
      <c r="V157" s="79"/>
      <c r="W157" s="79"/>
      <c r="X157" s="79"/>
      <c r="Y157" s="79"/>
      <c r="Z157" s="79"/>
      <c r="AA157" s="79"/>
      <c r="AB157" s="79"/>
      <c r="AC157" s="79"/>
      <c r="AD157" s="79"/>
      <c r="AE157" s="79"/>
      <c r="AF157" s="79"/>
      <c r="AG157" s="79"/>
      <c r="AH157" s="79"/>
      <c r="AI157" s="79"/>
      <c r="AJ157" s="79"/>
      <c r="AK157" s="79"/>
      <c r="AL157" s="79"/>
      <c r="AM157" s="79"/>
      <c r="AN157" s="79"/>
      <c r="AO157" s="79"/>
      <c r="AP157" s="79"/>
      <c r="AQ157" s="79"/>
      <c r="AR157" s="79"/>
      <c r="AS157" s="79"/>
      <c r="AT157" s="79"/>
      <c r="AU157" s="79"/>
      <c r="AV157" s="79"/>
      <c r="AW157" s="79"/>
      <c r="AX157" s="79"/>
      <c r="AY157" s="79"/>
      <c r="AZ157" s="79"/>
      <c r="BA157" s="79"/>
      <c r="BB157" s="79"/>
      <c r="BC157" s="79"/>
      <c r="BD157" s="79"/>
      <c r="BE157" s="79"/>
      <c r="BF157" s="79"/>
      <c r="BG157" s="79"/>
      <c r="BH157" s="79"/>
      <c r="BI157" s="79"/>
      <c r="BJ157" s="79"/>
      <c r="BK157" s="79"/>
      <c r="BL157" s="79"/>
      <c r="BM157" s="79"/>
      <c r="BN157" s="79"/>
      <c r="BO157" s="79"/>
      <c r="BP157" s="79"/>
      <c r="BQ157" s="79"/>
      <c r="BR157" s="79"/>
      <c r="BS157" s="79"/>
      <c r="BT157" s="79"/>
      <c r="BU157" s="79"/>
      <c r="BV157" s="79"/>
      <c r="BW157" s="79"/>
      <c r="BX157" s="79"/>
      <c r="BY157" s="79"/>
      <c r="BZ157" s="79"/>
      <c r="CA157" s="79"/>
      <c r="CB157" s="79"/>
      <c r="CC157" s="79"/>
      <c r="CD157" s="79"/>
      <c r="CE157" s="79"/>
      <c r="CF157" s="79"/>
      <c r="CG157" s="79"/>
      <c r="CH157" s="79"/>
      <c r="CI157" s="79"/>
      <c r="CJ157" s="79"/>
      <c r="CK157" s="79"/>
      <c r="CL157" s="79"/>
      <c r="CM157" s="79"/>
      <c r="CN157" s="79"/>
      <c r="CO157" s="79"/>
      <c r="CP157" s="79"/>
      <c r="CQ157" s="79"/>
      <c r="CR157" s="79"/>
      <c r="CS157" s="79"/>
      <c r="CT157" s="79"/>
      <c r="CU157" s="79"/>
      <c r="CV157" s="79"/>
      <c r="CW157" s="79"/>
      <c r="CX157" s="79"/>
      <c r="CY157" s="79"/>
      <c r="CZ157" s="79"/>
      <c r="DA157" s="79"/>
      <c r="DB157" s="79"/>
      <c r="DC157" s="79"/>
      <c r="DD157" s="79"/>
      <c r="DE157" s="79"/>
      <c r="DF157" s="79"/>
      <c r="DG157" s="79"/>
      <c r="DH157" s="79"/>
      <c r="DI157" s="79"/>
      <c r="DJ157" s="79"/>
      <c r="DK157" s="79"/>
      <c r="DL157" s="79"/>
      <c r="DM157" s="79"/>
      <c r="DN157" s="79"/>
      <c r="DO157" s="79"/>
      <c r="DP157" s="79"/>
      <c r="DQ157" s="79"/>
      <c r="DR157" s="79"/>
      <c r="DS157" s="79"/>
      <c r="DT157" s="79"/>
      <c r="DU157" s="79"/>
      <c r="DV157" s="79"/>
      <c r="DW157" s="79"/>
      <c r="DX157" s="79"/>
      <c r="DY157" s="79"/>
      <c r="DZ157" s="79"/>
      <c r="EA157" s="79"/>
    </row>
    <row r="158" spans="1:131" s="78" customFormat="1" ht="32.25" customHeight="1" outlineLevel="1">
      <c r="A158" s="99" t="s">
        <v>357</v>
      </c>
      <c r="B158" s="102" t="s">
        <v>5</v>
      </c>
      <c r="C158" s="103" t="s">
        <v>6</v>
      </c>
      <c r="D158" s="107" t="s">
        <v>821</v>
      </c>
      <c r="E158" s="104" t="s">
        <v>391</v>
      </c>
      <c r="F158" s="103" t="s">
        <v>303</v>
      </c>
      <c r="G158" s="103" t="s">
        <v>345</v>
      </c>
      <c r="H158" s="190" t="s">
        <v>512</v>
      </c>
      <c r="I158" s="192" t="s">
        <v>816</v>
      </c>
      <c r="J158" s="102" t="s">
        <v>312</v>
      </c>
      <c r="K158" s="192">
        <v>2</v>
      </c>
      <c r="L158" s="192">
        <v>580</v>
      </c>
      <c r="M158" s="102" t="s">
        <v>298</v>
      </c>
      <c r="N158" s="102" t="s">
        <v>501</v>
      </c>
      <c r="O158" s="102" t="s">
        <v>299</v>
      </c>
      <c r="P158" s="102" t="s">
        <v>304</v>
      </c>
      <c r="Q158" s="102" t="s">
        <v>328</v>
      </c>
      <c r="R158" s="102" t="s">
        <v>314</v>
      </c>
      <c r="S158" s="102" t="s">
        <v>381</v>
      </c>
      <c r="T158" s="79"/>
      <c r="U158" s="79"/>
      <c r="V158" s="79"/>
      <c r="W158" s="79"/>
      <c r="X158" s="79"/>
      <c r="Y158" s="79"/>
      <c r="Z158" s="79"/>
      <c r="AA158" s="79"/>
      <c r="AB158" s="79"/>
      <c r="AC158" s="79"/>
      <c r="AD158" s="79"/>
      <c r="AE158" s="79"/>
      <c r="AF158" s="79"/>
      <c r="AG158" s="79"/>
      <c r="AH158" s="79"/>
      <c r="AI158" s="79"/>
      <c r="AJ158" s="79"/>
      <c r="AK158" s="79"/>
      <c r="AL158" s="79"/>
      <c r="AM158" s="79"/>
      <c r="AN158" s="79"/>
      <c r="AO158" s="79"/>
      <c r="AP158" s="79"/>
      <c r="AQ158" s="79"/>
      <c r="AR158" s="79"/>
      <c r="AS158" s="79"/>
      <c r="AT158" s="79"/>
      <c r="AU158" s="79"/>
      <c r="AV158" s="79"/>
      <c r="AW158" s="79"/>
      <c r="AX158" s="79"/>
      <c r="AY158" s="79"/>
      <c r="AZ158" s="79"/>
      <c r="BA158" s="79"/>
      <c r="BB158" s="79"/>
      <c r="BC158" s="79"/>
      <c r="BD158" s="79"/>
      <c r="BE158" s="79"/>
      <c r="BF158" s="79"/>
      <c r="BG158" s="79"/>
      <c r="BH158" s="79"/>
      <c r="BI158" s="79"/>
      <c r="BJ158" s="79"/>
      <c r="BK158" s="79"/>
      <c r="BL158" s="79"/>
      <c r="BM158" s="79"/>
      <c r="BN158" s="79"/>
      <c r="BO158" s="79"/>
      <c r="BP158" s="79"/>
      <c r="BQ158" s="79"/>
      <c r="BR158" s="79"/>
      <c r="BS158" s="79"/>
      <c r="BT158" s="79"/>
      <c r="BU158" s="79"/>
      <c r="BV158" s="79"/>
      <c r="BW158" s="79"/>
      <c r="BX158" s="79"/>
      <c r="BY158" s="79"/>
      <c r="BZ158" s="79"/>
      <c r="CA158" s="79"/>
      <c r="CB158" s="79"/>
      <c r="CC158" s="79"/>
      <c r="CD158" s="79"/>
      <c r="CE158" s="79"/>
      <c r="CF158" s="79"/>
      <c r="CG158" s="79"/>
      <c r="CH158" s="79"/>
      <c r="CI158" s="79"/>
      <c r="CJ158" s="79"/>
      <c r="CK158" s="79"/>
      <c r="CL158" s="79"/>
      <c r="CM158" s="79"/>
      <c r="CN158" s="79"/>
      <c r="CO158" s="79"/>
      <c r="CP158" s="79"/>
      <c r="CQ158" s="79"/>
      <c r="CR158" s="79"/>
      <c r="CS158" s="79"/>
      <c r="CT158" s="79"/>
      <c r="CU158" s="79"/>
      <c r="CV158" s="79"/>
      <c r="CW158" s="79"/>
      <c r="CX158" s="79"/>
      <c r="CY158" s="79"/>
      <c r="CZ158" s="79"/>
      <c r="DA158" s="79"/>
      <c r="DB158" s="79"/>
      <c r="DC158" s="79"/>
      <c r="DD158" s="79"/>
      <c r="DE158" s="79"/>
      <c r="DF158" s="79"/>
      <c r="DG158" s="79"/>
      <c r="DH158" s="79"/>
      <c r="DI158" s="79"/>
      <c r="DJ158" s="79"/>
      <c r="DK158" s="79"/>
      <c r="DL158" s="79"/>
      <c r="DM158" s="79"/>
      <c r="DN158" s="79"/>
      <c r="DO158" s="79"/>
      <c r="DP158" s="79"/>
      <c r="DQ158" s="79"/>
      <c r="DR158" s="79"/>
      <c r="DS158" s="79"/>
      <c r="DT158" s="79"/>
      <c r="DU158" s="79"/>
      <c r="DV158" s="79"/>
      <c r="DW158" s="79"/>
      <c r="DX158" s="79"/>
      <c r="DY158" s="79"/>
      <c r="DZ158" s="79"/>
      <c r="EA158" s="79"/>
    </row>
    <row r="159" spans="1:131" s="78" customFormat="1" ht="85" outlineLevel="1">
      <c r="A159" s="99" t="s">
        <v>357</v>
      </c>
      <c r="B159" s="102" t="s">
        <v>5</v>
      </c>
      <c r="C159" s="103" t="s">
        <v>6</v>
      </c>
      <c r="D159" s="107" t="s">
        <v>822</v>
      </c>
      <c r="E159" s="103" t="s">
        <v>823</v>
      </c>
      <c r="F159" s="103" t="s">
        <v>303</v>
      </c>
      <c r="G159" s="103" t="s">
        <v>345</v>
      </c>
      <c r="H159" s="103" t="s">
        <v>512</v>
      </c>
      <c r="I159" s="192" t="s">
        <v>816</v>
      </c>
      <c r="J159" s="102" t="s">
        <v>312</v>
      </c>
      <c r="K159" s="192">
        <v>2</v>
      </c>
      <c r="L159" s="192">
        <v>824</v>
      </c>
      <c r="M159" s="102" t="s">
        <v>298</v>
      </c>
      <c r="N159" s="102" t="s">
        <v>501</v>
      </c>
      <c r="O159" s="102" t="s">
        <v>299</v>
      </c>
      <c r="P159" s="102" t="s">
        <v>304</v>
      </c>
      <c r="Q159" s="102" t="s">
        <v>328</v>
      </c>
      <c r="R159" s="102" t="s">
        <v>314</v>
      </c>
      <c r="S159" s="102" t="s">
        <v>381</v>
      </c>
      <c r="T159" s="79"/>
      <c r="U159" s="79"/>
      <c r="V159" s="79"/>
      <c r="W159" s="79"/>
      <c r="X159" s="79"/>
      <c r="Y159" s="79"/>
      <c r="Z159" s="79"/>
      <c r="AA159" s="79"/>
      <c r="AB159" s="79"/>
      <c r="AC159" s="79"/>
      <c r="AD159" s="79"/>
      <c r="AE159" s="79"/>
      <c r="AF159" s="79"/>
      <c r="AG159" s="79"/>
      <c r="AH159" s="79"/>
      <c r="AI159" s="79"/>
      <c r="AJ159" s="79"/>
      <c r="AK159" s="79"/>
      <c r="AL159" s="79"/>
      <c r="AM159" s="79"/>
      <c r="AN159" s="79"/>
      <c r="AO159" s="79"/>
      <c r="AP159" s="79"/>
      <c r="AQ159" s="79"/>
      <c r="AR159" s="79"/>
      <c r="AS159" s="79"/>
      <c r="AT159" s="79"/>
      <c r="AU159" s="79"/>
      <c r="AV159" s="79"/>
      <c r="AW159" s="79"/>
      <c r="AX159" s="79"/>
      <c r="AY159" s="79"/>
      <c r="AZ159" s="79"/>
      <c r="BA159" s="79"/>
      <c r="BB159" s="79"/>
      <c r="BC159" s="79"/>
      <c r="BD159" s="79"/>
      <c r="BE159" s="79"/>
      <c r="BF159" s="79"/>
      <c r="BG159" s="79"/>
      <c r="BH159" s="79"/>
      <c r="BI159" s="79"/>
      <c r="BJ159" s="79"/>
      <c r="BK159" s="79"/>
      <c r="BL159" s="79"/>
      <c r="BM159" s="79"/>
      <c r="BN159" s="79"/>
      <c r="BO159" s="79"/>
      <c r="BP159" s="79"/>
      <c r="BQ159" s="79"/>
      <c r="BR159" s="79"/>
      <c r="BS159" s="79"/>
      <c r="BT159" s="79"/>
      <c r="BU159" s="79"/>
      <c r="BV159" s="79"/>
      <c r="BW159" s="79"/>
      <c r="BX159" s="79"/>
      <c r="BY159" s="79"/>
      <c r="BZ159" s="79"/>
      <c r="CA159" s="79"/>
      <c r="CB159" s="79"/>
      <c r="CC159" s="79"/>
      <c r="CD159" s="79"/>
      <c r="CE159" s="79"/>
      <c r="CF159" s="79"/>
      <c r="CG159" s="79"/>
      <c r="CH159" s="79"/>
      <c r="CI159" s="79"/>
      <c r="CJ159" s="79"/>
      <c r="CK159" s="79"/>
      <c r="CL159" s="79"/>
      <c r="CM159" s="79"/>
      <c r="CN159" s="79"/>
      <c r="CO159" s="79"/>
      <c r="CP159" s="79"/>
      <c r="CQ159" s="79"/>
      <c r="CR159" s="79"/>
      <c r="CS159" s="79"/>
      <c r="CT159" s="79"/>
      <c r="CU159" s="79"/>
      <c r="CV159" s="79"/>
      <c r="CW159" s="79"/>
      <c r="CX159" s="79"/>
      <c r="CY159" s="79"/>
      <c r="CZ159" s="79"/>
      <c r="DA159" s="79"/>
      <c r="DB159" s="79"/>
      <c r="DC159" s="79"/>
      <c r="DD159" s="79"/>
      <c r="DE159" s="79"/>
      <c r="DF159" s="79"/>
      <c r="DG159" s="79"/>
      <c r="DH159" s="79"/>
      <c r="DI159" s="79"/>
      <c r="DJ159" s="79"/>
      <c r="DK159" s="79"/>
      <c r="DL159" s="79"/>
      <c r="DM159" s="79"/>
      <c r="DN159" s="79"/>
      <c r="DO159" s="79"/>
      <c r="DP159" s="79"/>
      <c r="DQ159" s="79"/>
      <c r="DR159" s="79"/>
      <c r="DS159" s="79"/>
      <c r="DT159" s="79"/>
      <c r="DU159" s="79"/>
      <c r="DV159" s="79"/>
      <c r="DW159" s="79"/>
      <c r="DX159" s="79"/>
      <c r="DY159" s="79"/>
      <c r="DZ159" s="79"/>
      <c r="EA159" s="79"/>
    </row>
    <row r="160" spans="1:131" s="78" customFormat="1" ht="85" outlineLevel="1">
      <c r="A160" s="99" t="s">
        <v>357</v>
      </c>
      <c r="B160" s="102" t="s">
        <v>5</v>
      </c>
      <c r="C160" s="103" t="s">
        <v>6</v>
      </c>
      <c r="D160" s="104" t="s">
        <v>824</v>
      </c>
      <c r="E160" s="103" t="s">
        <v>823</v>
      </c>
      <c r="F160" s="103" t="s">
        <v>303</v>
      </c>
      <c r="G160" s="103" t="s">
        <v>345</v>
      </c>
      <c r="H160" s="103" t="s">
        <v>512</v>
      </c>
      <c r="I160" s="192" t="s">
        <v>816</v>
      </c>
      <c r="J160" s="102" t="s">
        <v>312</v>
      </c>
      <c r="K160" s="192">
        <v>2</v>
      </c>
      <c r="L160" s="192">
        <v>10</v>
      </c>
      <c r="M160" s="102" t="s">
        <v>298</v>
      </c>
      <c r="N160" s="102" t="s">
        <v>501</v>
      </c>
      <c r="O160" s="102" t="s">
        <v>299</v>
      </c>
      <c r="P160" s="102" t="s">
        <v>304</v>
      </c>
      <c r="Q160" s="102" t="s">
        <v>328</v>
      </c>
      <c r="R160" s="102" t="s">
        <v>314</v>
      </c>
      <c r="S160" s="102" t="s">
        <v>381</v>
      </c>
      <c r="T160" s="79"/>
      <c r="U160" s="79"/>
      <c r="V160" s="79"/>
      <c r="W160" s="79"/>
      <c r="X160" s="79"/>
      <c r="Y160" s="79"/>
      <c r="Z160" s="79"/>
      <c r="AA160" s="79"/>
      <c r="AB160" s="79"/>
      <c r="AC160" s="79"/>
      <c r="AD160" s="79"/>
      <c r="AE160" s="79"/>
      <c r="AF160" s="79"/>
      <c r="AG160" s="79"/>
      <c r="AH160" s="79"/>
      <c r="AI160" s="79"/>
      <c r="AJ160" s="79"/>
      <c r="AK160" s="79"/>
      <c r="AL160" s="79"/>
      <c r="AM160" s="79"/>
      <c r="AN160" s="79"/>
      <c r="AO160" s="79"/>
      <c r="AP160" s="79"/>
      <c r="AQ160" s="79"/>
      <c r="AR160" s="79"/>
      <c r="AS160" s="79"/>
      <c r="AT160" s="79"/>
      <c r="AU160" s="79"/>
      <c r="AV160" s="79"/>
      <c r="AW160" s="79"/>
      <c r="AX160" s="79"/>
      <c r="AY160" s="79"/>
      <c r="AZ160" s="79"/>
      <c r="BA160" s="79"/>
      <c r="BB160" s="79"/>
      <c r="BC160" s="79"/>
      <c r="BD160" s="79"/>
      <c r="BE160" s="79"/>
      <c r="BF160" s="79"/>
      <c r="BG160" s="79"/>
      <c r="BH160" s="79"/>
      <c r="BI160" s="79"/>
      <c r="BJ160" s="79"/>
      <c r="BK160" s="79"/>
      <c r="BL160" s="79"/>
      <c r="BM160" s="79"/>
      <c r="BN160" s="79"/>
      <c r="BO160" s="79"/>
      <c r="BP160" s="79"/>
      <c r="BQ160" s="79"/>
      <c r="BR160" s="79"/>
      <c r="BS160" s="79"/>
      <c r="BT160" s="79"/>
      <c r="BU160" s="79"/>
      <c r="BV160" s="79"/>
      <c r="BW160" s="79"/>
      <c r="BX160" s="79"/>
      <c r="BY160" s="79"/>
      <c r="BZ160" s="79"/>
      <c r="CA160" s="79"/>
      <c r="CB160" s="79"/>
      <c r="CC160" s="79"/>
      <c r="CD160" s="79"/>
      <c r="CE160" s="79"/>
      <c r="CF160" s="79"/>
      <c r="CG160" s="79"/>
      <c r="CH160" s="79"/>
      <c r="CI160" s="79"/>
      <c r="CJ160" s="79"/>
      <c r="CK160" s="79"/>
      <c r="CL160" s="79"/>
      <c r="CM160" s="79"/>
      <c r="CN160" s="79"/>
      <c r="CO160" s="79"/>
      <c r="CP160" s="79"/>
      <c r="CQ160" s="79"/>
      <c r="CR160" s="79"/>
      <c r="CS160" s="79"/>
      <c r="CT160" s="79"/>
      <c r="CU160" s="79"/>
      <c r="CV160" s="79"/>
      <c r="CW160" s="79"/>
      <c r="CX160" s="79"/>
      <c r="CY160" s="79"/>
      <c r="CZ160" s="79"/>
      <c r="DA160" s="79"/>
      <c r="DB160" s="79"/>
      <c r="DC160" s="79"/>
      <c r="DD160" s="79"/>
      <c r="DE160" s="79"/>
      <c r="DF160" s="79"/>
      <c r="DG160" s="79"/>
      <c r="DH160" s="79"/>
      <c r="DI160" s="79"/>
      <c r="DJ160" s="79"/>
      <c r="DK160" s="79"/>
      <c r="DL160" s="79"/>
      <c r="DM160" s="79"/>
      <c r="DN160" s="79"/>
      <c r="DO160" s="79"/>
      <c r="DP160" s="79"/>
      <c r="DQ160" s="79"/>
      <c r="DR160" s="79"/>
      <c r="DS160" s="79"/>
      <c r="DT160" s="79"/>
      <c r="DU160" s="79"/>
      <c r="DV160" s="79"/>
      <c r="DW160" s="79"/>
      <c r="DX160" s="79"/>
      <c r="DY160" s="79"/>
      <c r="DZ160" s="79"/>
      <c r="EA160" s="79"/>
    </row>
    <row r="161" spans="1:131" s="78" customFormat="1" ht="68" outlineLevel="1">
      <c r="A161" s="99" t="s">
        <v>357</v>
      </c>
      <c r="B161" s="102" t="s">
        <v>5</v>
      </c>
      <c r="C161" s="103" t="s">
        <v>6</v>
      </c>
      <c r="D161" s="104" t="s">
        <v>825</v>
      </c>
      <c r="E161" s="191" t="s">
        <v>482</v>
      </c>
      <c r="F161" s="103" t="s">
        <v>303</v>
      </c>
      <c r="G161" s="103" t="s">
        <v>345</v>
      </c>
      <c r="H161" s="103" t="s">
        <v>512</v>
      </c>
      <c r="I161" s="190" t="s">
        <v>826</v>
      </c>
      <c r="J161" s="102" t="s">
        <v>312</v>
      </c>
      <c r="K161" s="210">
        <v>176</v>
      </c>
      <c r="L161" s="210">
        <v>50</v>
      </c>
      <c r="M161" s="102" t="s">
        <v>298</v>
      </c>
      <c r="N161" s="102" t="s">
        <v>827</v>
      </c>
      <c r="O161" s="102" t="s">
        <v>299</v>
      </c>
      <c r="P161" s="102" t="s">
        <v>300</v>
      </c>
      <c r="Q161" s="102" t="s">
        <v>305</v>
      </c>
      <c r="R161" s="102" t="s">
        <v>302</v>
      </c>
      <c r="S161" s="99"/>
      <c r="T161" s="79"/>
      <c r="U161" s="79"/>
      <c r="V161" s="79"/>
      <c r="W161" s="79"/>
      <c r="X161" s="79"/>
      <c r="Y161" s="79"/>
      <c r="Z161" s="79"/>
      <c r="AA161" s="79"/>
      <c r="AB161" s="79"/>
      <c r="AC161" s="79"/>
      <c r="AD161" s="79"/>
      <c r="AE161" s="79"/>
      <c r="AF161" s="79"/>
      <c r="AG161" s="79"/>
      <c r="AH161" s="79"/>
      <c r="AI161" s="79"/>
      <c r="AJ161" s="79"/>
      <c r="AK161" s="79"/>
      <c r="AL161" s="79"/>
      <c r="AM161" s="79"/>
      <c r="AN161" s="79"/>
      <c r="AO161" s="79"/>
      <c r="AP161" s="79"/>
      <c r="AQ161" s="79"/>
      <c r="AR161" s="79"/>
      <c r="AS161" s="79"/>
      <c r="AT161" s="79"/>
      <c r="AU161" s="79"/>
      <c r="AV161" s="79"/>
      <c r="AW161" s="79"/>
      <c r="AX161" s="79"/>
      <c r="AY161" s="79"/>
      <c r="AZ161" s="79"/>
      <c r="BA161" s="79"/>
      <c r="BB161" s="79"/>
      <c r="BC161" s="79"/>
      <c r="BD161" s="79"/>
      <c r="BE161" s="79"/>
      <c r="BF161" s="79"/>
      <c r="BG161" s="79"/>
      <c r="BH161" s="79"/>
      <c r="BI161" s="79"/>
      <c r="BJ161" s="79"/>
      <c r="BK161" s="79"/>
      <c r="BL161" s="79"/>
      <c r="BM161" s="79"/>
      <c r="BN161" s="79"/>
      <c r="BO161" s="79"/>
      <c r="BP161" s="79"/>
      <c r="BQ161" s="79"/>
      <c r="BR161" s="79"/>
      <c r="BS161" s="79"/>
      <c r="BT161" s="79"/>
      <c r="BU161" s="79"/>
      <c r="BV161" s="79"/>
      <c r="BW161" s="79"/>
      <c r="BX161" s="79"/>
      <c r="BY161" s="79"/>
      <c r="BZ161" s="79"/>
      <c r="CA161" s="79"/>
      <c r="CB161" s="79"/>
      <c r="CC161" s="79"/>
      <c r="CD161" s="79"/>
      <c r="CE161" s="79"/>
      <c r="CF161" s="79"/>
      <c r="CG161" s="79"/>
      <c r="CH161" s="79"/>
      <c r="CI161" s="79"/>
      <c r="CJ161" s="79"/>
      <c r="CK161" s="79"/>
      <c r="CL161" s="79"/>
      <c r="CM161" s="79"/>
      <c r="CN161" s="79"/>
      <c r="CO161" s="79"/>
      <c r="CP161" s="79"/>
      <c r="CQ161" s="79"/>
      <c r="CR161" s="79"/>
      <c r="CS161" s="79"/>
      <c r="CT161" s="79"/>
      <c r="CU161" s="79"/>
      <c r="CV161" s="79"/>
      <c r="CW161" s="79"/>
      <c r="CX161" s="79"/>
      <c r="CY161" s="79"/>
      <c r="CZ161" s="79"/>
      <c r="DA161" s="79"/>
      <c r="DB161" s="79"/>
      <c r="DC161" s="79"/>
      <c r="DD161" s="79"/>
      <c r="DE161" s="79"/>
      <c r="DF161" s="79"/>
      <c r="DG161" s="79"/>
      <c r="DH161" s="79"/>
      <c r="DI161" s="79"/>
      <c r="DJ161" s="79"/>
      <c r="DK161" s="79"/>
      <c r="DL161" s="79"/>
      <c r="DM161" s="79"/>
      <c r="DN161" s="79"/>
      <c r="DO161" s="79"/>
      <c r="DP161" s="79"/>
      <c r="DQ161" s="79"/>
      <c r="DR161" s="79"/>
      <c r="DS161" s="79"/>
      <c r="DT161" s="79"/>
      <c r="DU161" s="79"/>
      <c r="DV161" s="79"/>
      <c r="DW161" s="79"/>
      <c r="DX161" s="79"/>
      <c r="DY161" s="79"/>
      <c r="DZ161" s="79"/>
      <c r="EA161" s="79"/>
    </row>
    <row r="162" spans="1:131" s="78" customFormat="1" ht="68" outlineLevel="1">
      <c r="A162" s="99" t="s">
        <v>357</v>
      </c>
      <c r="B162" s="102" t="s">
        <v>5</v>
      </c>
      <c r="C162" s="103" t="s">
        <v>6</v>
      </c>
      <c r="D162" s="104" t="s">
        <v>828</v>
      </c>
      <c r="E162" s="191" t="s">
        <v>482</v>
      </c>
      <c r="F162" s="103" t="s">
        <v>303</v>
      </c>
      <c r="G162" s="103" t="s">
        <v>345</v>
      </c>
      <c r="H162" s="103" t="s">
        <v>512</v>
      </c>
      <c r="I162" s="192" t="s">
        <v>826</v>
      </c>
      <c r="J162" s="102" t="s">
        <v>312</v>
      </c>
      <c r="K162" s="210">
        <v>176</v>
      </c>
      <c r="L162" s="192">
        <v>5</v>
      </c>
      <c r="M162" s="102" t="s">
        <v>298</v>
      </c>
      <c r="N162" s="102" t="s">
        <v>827</v>
      </c>
      <c r="O162" s="102" t="s">
        <v>299</v>
      </c>
      <c r="P162" s="102" t="s">
        <v>300</v>
      </c>
      <c r="Q162" s="102" t="s">
        <v>305</v>
      </c>
      <c r="R162" s="102" t="s">
        <v>302</v>
      </c>
      <c r="S162" s="99"/>
      <c r="T162" s="79"/>
      <c r="U162" s="79"/>
      <c r="V162" s="79"/>
      <c r="W162" s="79"/>
      <c r="X162" s="79"/>
      <c r="Y162" s="79"/>
      <c r="Z162" s="79"/>
      <c r="AA162" s="79"/>
      <c r="AB162" s="79"/>
      <c r="AC162" s="79"/>
      <c r="AD162" s="79"/>
      <c r="AE162" s="79"/>
      <c r="AF162" s="79"/>
      <c r="AG162" s="79"/>
      <c r="AH162" s="79"/>
      <c r="AI162" s="79"/>
      <c r="AJ162" s="79"/>
      <c r="AK162" s="79"/>
      <c r="AL162" s="79"/>
      <c r="AM162" s="79"/>
      <c r="AN162" s="79"/>
      <c r="AO162" s="79"/>
      <c r="AP162" s="79"/>
      <c r="AQ162" s="79"/>
      <c r="AR162" s="79"/>
      <c r="AS162" s="79"/>
      <c r="AT162" s="79"/>
      <c r="AU162" s="79"/>
      <c r="AV162" s="79"/>
      <c r="AW162" s="79"/>
      <c r="AX162" s="79"/>
      <c r="AY162" s="79"/>
      <c r="AZ162" s="79"/>
      <c r="BA162" s="79"/>
      <c r="BB162" s="79"/>
      <c r="BC162" s="79"/>
      <c r="BD162" s="79"/>
      <c r="BE162" s="79"/>
      <c r="BF162" s="79"/>
      <c r="BG162" s="79"/>
      <c r="BH162" s="79"/>
      <c r="BI162" s="79"/>
      <c r="BJ162" s="79"/>
      <c r="BK162" s="79"/>
      <c r="BL162" s="79"/>
      <c r="BM162" s="79"/>
      <c r="BN162" s="79"/>
      <c r="BO162" s="79"/>
      <c r="BP162" s="79"/>
      <c r="BQ162" s="79"/>
      <c r="BR162" s="79"/>
      <c r="BS162" s="79"/>
      <c r="BT162" s="79"/>
      <c r="BU162" s="79"/>
      <c r="BV162" s="79"/>
      <c r="BW162" s="79"/>
      <c r="BX162" s="79"/>
      <c r="BY162" s="79"/>
      <c r="BZ162" s="79"/>
      <c r="CA162" s="79"/>
      <c r="CB162" s="79"/>
      <c r="CC162" s="79"/>
      <c r="CD162" s="79"/>
      <c r="CE162" s="79"/>
      <c r="CF162" s="79"/>
      <c r="CG162" s="79"/>
      <c r="CH162" s="79"/>
      <c r="CI162" s="79"/>
      <c r="CJ162" s="79"/>
      <c r="CK162" s="79"/>
      <c r="CL162" s="79"/>
      <c r="CM162" s="79"/>
      <c r="CN162" s="79"/>
      <c r="CO162" s="79"/>
      <c r="CP162" s="79"/>
      <c r="CQ162" s="79"/>
      <c r="CR162" s="79"/>
      <c r="CS162" s="79"/>
      <c r="CT162" s="79"/>
      <c r="CU162" s="79"/>
      <c r="CV162" s="79"/>
      <c r="CW162" s="79"/>
      <c r="CX162" s="79"/>
      <c r="CY162" s="79"/>
      <c r="CZ162" s="79"/>
      <c r="DA162" s="79"/>
      <c r="DB162" s="79"/>
      <c r="DC162" s="79"/>
      <c r="DD162" s="79"/>
      <c r="DE162" s="79"/>
      <c r="DF162" s="79"/>
      <c r="DG162" s="79"/>
      <c r="DH162" s="79"/>
      <c r="DI162" s="79"/>
      <c r="DJ162" s="79"/>
      <c r="DK162" s="79"/>
      <c r="DL162" s="79"/>
      <c r="DM162" s="79"/>
      <c r="DN162" s="79"/>
      <c r="DO162" s="79"/>
      <c r="DP162" s="79"/>
      <c r="DQ162" s="79"/>
      <c r="DR162" s="79"/>
      <c r="DS162" s="79"/>
      <c r="DT162" s="79"/>
      <c r="DU162" s="79"/>
      <c r="DV162" s="79"/>
      <c r="DW162" s="79"/>
      <c r="DX162" s="79"/>
      <c r="DY162" s="79"/>
      <c r="DZ162" s="79"/>
      <c r="EA162" s="79"/>
    </row>
    <row r="163" spans="1:131" s="78" customFormat="1" ht="68" outlineLevel="1">
      <c r="A163" s="99" t="s">
        <v>357</v>
      </c>
      <c r="B163" s="102" t="s">
        <v>5</v>
      </c>
      <c r="C163" s="103" t="s">
        <v>6</v>
      </c>
      <c r="D163" s="107" t="s">
        <v>829</v>
      </c>
      <c r="E163" s="191" t="s">
        <v>482</v>
      </c>
      <c r="F163" s="103" t="s">
        <v>303</v>
      </c>
      <c r="G163" s="103" t="s">
        <v>345</v>
      </c>
      <c r="H163" s="102" t="s">
        <v>512</v>
      </c>
      <c r="I163" s="190" t="s">
        <v>826</v>
      </c>
      <c r="J163" s="102" t="s">
        <v>312</v>
      </c>
      <c r="K163" s="210">
        <v>176</v>
      </c>
      <c r="L163" s="192">
        <v>10</v>
      </c>
      <c r="M163" s="102" t="s">
        <v>298</v>
      </c>
      <c r="N163" s="102" t="s">
        <v>827</v>
      </c>
      <c r="O163" s="102" t="s">
        <v>299</v>
      </c>
      <c r="P163" s="102" t="s">
        <v>300</v>
      </c>
      <c r="Q163" s="102" t="s">
        <v>305</v>
      </c>
      <c r="R163" s="102" t="s">
        <v>302</v>
      </c>
      <c r="S163" s="99"/>
      <c r="T163" s="79"/>
      <c r="U163" s="79"/>
      <c r="V163" s="79"/>
      <c r="W163" s="79"/>
      <c r="X163" s="79"/>
      <c r="Y163" s="79"/>
      <c r="Z163" s="79"/>
      <c r="AA163" s="79"/>
      <c r="AB163" s="79"/>
      <c r="AC163" s="79"/>
      <c r="AD163" s="79"/>
      <c r="AE163" s="79"/>
      <c r="AF163" s="79"/>
      <c r="AG163" s="79"/>
      <c r="AH163" s="79"/>
      <c r="AI163" s="79"/>
      <c r="AJ163" s="79"/>
      <c r="AK163" s="79"/>
      <c r="AL163" s="79"/>
      <c r="AM163" s="79"/>
      <c r="AN163" s="79"/>
      <c r="AO163" s="79"/>
      <c r="AP163" s="79"/>
      <c r="AQ163" s="79"/>
      <c r="AR163" s="79"/>
      <c r="AS163" s="79"/>
      <c r="AT163" s="79"/>
      <c r="AU163" s="79"/>
      <c r="AV163" s="79"/>
      <c r="AW163" s="79"/>
      <c r="AX163" s="79"/>
      <c r="AY163" s="79"/>
      <c r="AZ163" s="79"/>
      <c r="BA163" s="79"/>
      <c r="BB163" s="79"/>
      <c r="BC163" s="79"/>
      <c r="BD163" s="79"/>
      <c r="BE163" s="79"/>
      <c r="BF163" s="79"/>
      <c r="BG163" s="79"/>
      <c r="BH163" s="79"/>
      <c r="BI163" s="79"/>
      <c r="BJ163" s="79"/>
      <c r="BK163" s="79"/>
      <c r="BL163" s="79"/>
      <c r="BM163" s="79"/>
      <c r="BN163" s="79"/>
      <c r="BO163" s="79"/>
      <c r="BP163" s="79"/>
      <c r="BQ163" s="79"/>
      <c r="BR163" s="79"/>
      <c r="BS163" s="79"/>
      <c r="BT163" s="79"/>
      <c r="BU163" s="79"/>
      <c r="BV163" s="79"/>
      <c r="BW163" s="79"/>
      <c r="BX163" s="79"/>
      <c r="BY163" s="79"/>
      <c r="BZ163" s="79"/>
      <c r="CA163" s="79"/>
      <c r="CB163" s="79"/>
      <c r="CC163" s="79"/>
      <c r="CD163" s="79"/>
      <c r="CE163" s="79"/>
      <c r="CF163" s="79"/>
      <c r="CG163" s="79"/>
      <c r="CH163" s="79"/>
      <c r="CI163" s="79"/>
      <c r="CJ163" s="79"/>
      <c r="CK163" s="79"/>
      <c r="CL163" s="79"/>
      <c r="CM163" s="79"/>
      <c r="CN163" s="79"/>
      <c r="CO163" s="79"/>
      <c r="CP163" s="79"/>
      <c r="CQ163" s="79"/>
      <c r="CR163" s="79"/>
      <c r="CS163" s="79"/>
      <c r="CT163" s="79"/>
      <c r="CU163" s="79"/>
      <c r="CV163" s="79"/>
      <c r="CW163" s="79"/>
      <c r="CX163" s="79"/>
      <c r="CY163" s="79"/>
      <c r="CZ163" s="79"/>
      <c r="DA163" s="79"/>
      <c r="DB163" s="79"/>
      <c r="DC163" s="79"/>
      <c r="DD163" s="79"/>
      <c r="DE163" s="79"/>
      <c r="DF163" s="79"/>
      <c r="DG163" s="79"/>
      <c r="DH163" s="79"/>
      <c r="DI163" s="79"/>
      <c r="DJ163" s="79"/>
      <c r="DK163" s="79"/>
      <c r="DL163" s="79"/>
      <c r="DM163" s="79"/>
      <c r="DN163" s="79"/>
      <c r="DO163" s="79"/>
      <c r="DP163" s="79"/>
      <c r="DQ163" s="79"/>
      <c r="DR163" s="79"/>
      <c r="DS163" s="79"/>
      <c r="DT163" s="79"/>
      <c r="DU163" s="79"/>
      <c r="DV163" s="79"/>
      <c r="DW163" s="79"/>
      <c r="DX163" s="79"/>
      <c r="DY163" s="79"/>
      <c r="DZ163" s="79"/>
      <c r="EA163" s="79"/>
    </row>
    <row r="164" spans="1:131" s="78" customFormat="1" ht="139.5" customHeight="1" outlineLevel="1">
      <c r="A164" s="99" t="s">
        <v>357</v>
      </c>
      <c r="B164" s="102" t="s">
        <v>5</v>
      </c>
      <c r="C164" s="103" t="s">
        <v>6</v>
      </c>
      <c r="D164" s="104" t="s">
        <v>830</v>
      </c>
      <c r="E164" s="103" t="s">
        <v>435</v>
      </c>
      <c r="F164" s="103" t="s">
        <v>303</v>
      </c>
      <c r="G164" s="103" t="s">
        <v>831</v>
      </c>
      <c r="H164" s="102" t="s">
        <v>512</v>
      </c>
      <c r="I164" s="192" t="s">
        <v>816</v>
      </c>
      <c r="J164" s="102" t="s">
        <v>312</v>
      </c>
      <c r="K164" s="192">
        <v>124</v>
      </c>
      <c r="L164" s="192">
        <v>80</v>
      </c>
      <c r="M164" s="102" t="s">
        <v>298</v>
      </c>
      <c r="N164" s="211" t="s">
        <v>832</v>
      </c>
      <c r="O164" s="102" t="s">
        <v>299</v>
      </c>
      <c r="P164" s="102" t="s">
        <v>304</v>
      </c>
      <c r="Q164" s="102" t="s">
        <v>301</v>
      </c>
      <c r="R164" s="102" t="s">
        <v>314</v>
      </c>
      <c r="S164" s="102" t="s">
        <v>381</v>
      </c>
      <c r="T164" s="79"/>
      <c r="U164" s="79"/>
      <c r="V164" s="79"/>
      <c r="W164" s="79"/>
      <c r="X164" s="79"/>
      <c r="Y164" s="79"/>
      <c r="Z164" s="79"/>
      <c r="AA164" s="79"/>
      <c r="AB164" s="79"/>
      <c r="AC164" s="79"/>
      <c r="AD164" s="79"/>
      <c r="AE164" s="79"/>
      <c r="AF164" s="79"/>
      <c r="AG164" s="79"/>
      <c r="AH164" s="79"/>
      <c r="AI164" s="79"/>
      <c r="AJ164" s="79"/>
      <c r="AK164" s="79"/>
      <c r="AL164" s="79"/>
      <c r="AM164" s="79"/>
      <c r="AN164" s="79"/>
      <c r="AO164" s="79"/>
      <c r="AP164" s="79"/>
      <c r="AQ164" s="79"/>
      <c r="AR164" s="79"/>
      <c r="AS164" s="79"/>
      <c r="AT164" s="79"/>
      <c r="AU164" s="79"/>
      <c r="AV164" s="79"/>
      <c r="AW164" s="79"/>
      <c r="AX164" s="79"/>
      <c r="AY164" s="79"/>
      <c r="AZ164" s="79"/>
      <c r="BA164" s="79"/>
      <c r="BB164" s="79"/>
      <c r="BC164" s="79"/>
      <c r="BD164" s="79"/>
      <c r="BE164" s="79"/>
      <c r="BF164" s="79"/>
      <c r="BG164" s="79"/>
      <c r="BH164" s="79"/>
      <c r="BI164" s="79"/>
      <c r="BJ164" s="79"/>
      <c r="BK164" s="79"/>
      <c r="BL164" s="79"/>
      <c r="BM164" s="79"/>
      <c r="BN164" s="79"/>
      <c r="BO164" s="79"/>
      <c r="BP164" s="79"/>
      <c r="BQ164" s="79"/>
      <c r="BR164" s="79"/>
      <c r="BS164" s="79"/>
      <c r="BT164" s="79"/>
      <c r="BU164" s="79"/>
      <c r="BV164" s="79"/>
      <c r="BW164" s="79"/>
      <c r="BX164" s="79"/>
      <c r="BY164" s="79"/>
      <c r="BZ164" s="79"/>
      <c r="CA164" s="79"/>
      <c r="CB164" s="79"/>
      <c r="CC164" s="79"/>
      <c r="CD164" s="79"/>
      <c r="CE164" s="79"/>
      <c r="CF164" s="79"/>
      <c r="CG164" s="79"/>
      <c r="CH164" s="79"/>
      <c r="CI164" s="79"/>
      <c r="CJ164" s="79"/>
      <c r="CK164" s="79"/>
      <c r="CL164" s="79"/>
      <c r="CM164" s="79"/>
      <c r="CN164" s="79"/>
      <c r="CO164" s="79"/>
      <c r="CP164" s="79"/>
      <c r="CQ164" s="79"/>
      <c r="CR164" s="79"/>
      <c r="CS164" s="79"/>
      <c r="CT164" s="79"/>
      <c r="CU164" s="79"/>
      <c r="CV164" s="79"/>
      <c r="CW164" s="79"/>
      <c r="CX164" s="79"/>
      <c r="CY164" s="79"/>
      <c r="CZ164" s="79"/>
      <c r="DA164" s="79"/>
      <c r="DB164" s="79"/>
      <c r="DC164" s="79"/>
      <c r="DD164" s="79"/>
      <c r="DE164" s="79"/>
      <c r="DF164" s="79"/>
      <c r="DG164" s="79"/>
      <c r="DH164" s="79"/>
      <c r="DI164" s="79"/>
      <c r="DJ164" s="79"/>
      <c r="DK164" s="79"/>
      <c r="DL164" s="79"/>
      <c r="DM164" s="79"/>
      <c r="DN164" s="79"/>
      <c r="DO164" s="79"/>
      <c r="DP164" s="79"/>
      <c r="DQ164" s="79"/>
      <c r="DR164" s="79"/>
      <c r="DS164" s="79"/>
      <c r="DT164" s="79"/>
      <c r="DU164" s="79"/>
      <c r="DV164" s="79"/>
      <c r="DW164" s="79"/>
      <c r="DX164" s="79"/>
      <c r="DY164" s="79"/>
      <c r="DZ164" s="79"/>
      <c r="EA164" s="79"/>
    </row>
    <row r="165" spans="1:131" s="78" customFormat="1" ht="70.5" customHeight="1" outlineLevel="1">
      <c r="A165" s="99" t="s">
        <v>357</v>
      </c>
      <c r="B165" s="102" t="s">
        <v>5</v>
      </c>
      <c r="C165" s="103" t="s">
        <v>6</v>
      </c>
      <c r="D165" s="107" t="s">
        <v>833</v>
      </c>
      <c r="E165" s="103" t="s">
        <v>427</v>
      </c>
      <c r="F165" s="103" t="s">
        <v>303</v>
      </c>
      <c r="G165" s="103" t="s">
        <v>834</v>
      </c>
      <c r="H165" s="102" t="s">
        <v>512</v>
      </c>
      <c r="I165" s="102" t="s">
        <v>816</v>
      </c>
      <c r="J165" s="102" t="s">
        <v>312</v>
      </c>
      <c r="K165" s="102">
        <v>40</v>
      </c>
      <c r="L165" s="102">
        <v>200</v>
      </c>
      <c r="M165" s="102" t="s">
        <v>298</v>
      </c>
      <c r="N165" s="102" t="s">
        <v>501</v>
      </c>
      <c r="O165" s="102" t="s">
        <v>299</v>
      </c>
      <c r="P165" s="102" t="s">
        <v>304</v>
      </c>
      <c r="Q165" s="102" t="s">
        <v>328</v>
      </c>
      <c r="R165" s="102" t="s">
        <v>314</v>
      </c>
      <c r="S165" s="102" t="s">
        <v>381</v>
      </c>
      <c r="T165" s="79"/>
      <c r="U165" s="79"/>
      <c r="V165" s="79"/>
      <c r="W165" s="79"/>
      <c r="X165" s="79"/>
      <c r="Y165" s="79"/>
      <c r="Z165" s="79"/>
      <c r="AA165" s="79"/>
      <c r="AB165" s="79"/>
      <c r="AC165" s="79"/>
      <c r="AD165" s="79"/>
      <c r="AE165" s="79"/>
      <c r="AF165" s="79"/>
      <c r="AG165" s="79"/>
      <c r="AH165" s="79"/>
      <c r="AI165" s="79"/>
      <c r="AJ165" s="79"/>
      <c r="AK165" s="79"/>
      <c r="AL165" s="79"/>
      <c r="AM165" s="79"/>
      <c r="AN165" s="79"/>
      <c r="AO165" s="79"/>
      <c r="AP165" s="79"/>
      <c r="AQ165" s="79"/>
      <c r="AR165" s="79"/>
      <c r="AS165" s="79"/>
      <c r="AT165" s="79"/>
      <c r="AU165" s="79"/>
      <c r="AV165" s="79"/>
      <c r="AW165" s="79"/>
      <c r="AX165" s="79"/>
      <c r="AY165" s="79"/>
      <c r="AZ165" s="79"/>
      <c r="BA165" s="79"/>
      <c r="BB165" s="79"/>
      <c r="BC165" s="79"/>
      <c r="BD165" s="79"/>
      <c r="BE165" s="79"/>
      <c r="BF165" s="79"/>
      <c r="BG165" s="79"/>
      <c r="BH165" s="79"/>
      <c r="BI165" s="79"/>
      <c r="BJ165" s="79"/>
      <c r="BK165" s="79"/>
      <c r="BL165" s="79"/>
      <c r="BM165" s="79"/>
      <c r="BN165" s="79"/>
      <c r="BO165" s="79"/>
      <c r="BP165" s="79"/>
      <c r="BQ165" s="79"/>
      <c r="BR165" s="79"/>
      <c r="BS165" s="79"/>
      <c r="BT165" s="79"/>
      <c r="BU165" s="79"/>
      <c r="BV165" s="79"/>
      <c r="BW165" s="79"/>
      <c r="BX165" s="79"/>
      <c r="BY165" s="79"/>
      <c r="BZ165" s="79"/>
      <c r="CA165" s="79"/>
      <c r="CB165" s="79"/>
      <c r="CC165" s="79"/>
      <c r="CD165" s="79"/>
      <c r="CE165" s="79"/>
      <c r="CF165" s="79"/>
      <c r="CG165" s="79"/>
      <c r="CH165" s="79"/>
      <c r="CI165" s="79"/>
      <c r="CJ165" s="79"/>
      <c r="CK165" s="79"/>
      <c r="CL165" s="79"/>
      <c r="CM165" s="79"/>
      <c r="CN165" s="79"/>
      <c r="CO165" s="79"/>
      <c r="CP165" s="79"/>
      <c r="CQ165" s="79"/>
      <c r="CR165" s="79"/>
      <c r="CS165" s="79"/>
      <c r="CT165" s="79"/>
      <c r="CU165" s="79"/>
      <c r="CV165" s="79"/>
      <c r="CW165" s="79"/>
      <c r="CX165" s="79"/>
      <c r="CY165" s="79"/>
      <c r="CZ165" s="79"/>
      <c r="DA165" s="79"/>
      <c r="DB165" s="79"/>
      <c r="DC165" s="79"/>
      <c r="DD165" s="79"/>
      <c r="DE165" s="79"/>
      <c r="DF165" s="79"/>
      <c r="DG165" s="79"/>
      <c r="DH165" s="79"/>
      <c r="DI165" s="79"/>
      <c r="DJ165" s="79"/>
      <c r="DK165" s="79"/>
      <c r="DL165" s="79"/>
      <c r="DM165" s="79"/>
      <c r="DN165" s="79"/>
      <c r="DO165" s="79"/>
      <c r="DP165" s="79"/>
      <c r="DQ165" s="79"/>
      <c r="DR165" s="79"/>
      <c r="DS165" s="79"/>
      <c r="DT165" s="79"/>
      <c r="DU165" s="79"/>
      <c r="DV165" s="79"/>
      <c r="DW165" s="79"/>
      <c r="DX165" s="79"/>
      <c r="DY165" s="79"/>
      <c r="DZ165" s="79"/>
      <c r="EA165" s="79"/>
    </row>
    <row r="166" spans="1:131" s="78" customFormat="1" ht="48" customHeight="1" outlineLevel="1">
      <c r="A166" s="99" t="s">
        <v>357</v>
      </c>
      <c r="B166" s="102" t="s">
        <v>5</v>
      </c>
      <c r="C166" s="103" t="s">
        <v>6</v>
      </c>
      <c r="D166" s="107" t="s">
        <v>835</v>
      </c>
      <c r="E166" s="103" t="s">
        <v>427</v>
      </c>
      <c r="F166" s="103" t="s">
        <v>303</v>
      </c>
      <c r="G166" s="103" t="s">
        <v>834</v>
      </c>
      <c r="H166" s="102" t="s">
        <v>512</v>
      </c>
      <c r="I166" s="212" t="s">
        <v>816</v>
      </c>
      <c r="J166" s="102" t="s">
        <v>312</v>
      </c>
      <c r="K166" s="102">
        <v>40</v>
      </c>
      <c r="L166" s="192">
        <v>10</v>
      </c>
      <c r="M166" s="102" t="s">
        <v>298</v>
      </c>
      <c r="N166" s="102" t="s">
        <v>501</v>
      </c>
      <c r="O166" s="102" t="s">
        <v>299</v>
      </c>
      <c r="P166" s="102" t="s">
        <v>304</v>
      </c>
      <c r="Q166" s="102" t="s">
        <v>328</v>
      </c>
      <c r="R166" s="102" t="s">
        <v>314</v>
      </c>
      <c r="S166" s="102" t="s">
        <v>381</v>
      </c>
      <c r="T166" s="79"/>
      <c r="U166" s="79"/>
      <c r="V166" s="79"/>
      <c r="W166" s="79"/>
      <c r="X166" s="79"/>
      <c r="Y166" s="79"/>
      <c r="Z166" s="79"/>
      <c r="AA166" s="79"/>
      <c r="AB166" s="79"/>
      <c r="AC166" s="79"/>
      <c r="AD166" s="79"/>
      <c r="AE166" s="79"/>
      <c r="AF166" s="79"/>
      <c r="AG166" s="79"/>
      <c r="AH166" s="79"/>
      <c r="AI166" s="79"/>
      <c r="AJ166" s="79"/>
      <c r="AK166" s="79"/>
      <c r="AL166" s="79"/>
      <c r="AM166" s="79"/>
      <c r="AN166" s="79"/>
      <c r="AO166" s="79"/>
      <c r="AP166" s="79"/>
      <c r="AQ166" s="79"/>
      <c r="AR166" s="79"/>
      <c r="AS166" s="79"/>
      <c r="AT166" s="79"/>
      <c r="AU166" s="79"/>
      <c r="AV166" s="79"/>
      <c r="AW166" s="79"/>
      <c r="AX166" s="79"/>
      <c r="AY166" s="79"/>
      <c r="AZ166" s="79"/>
      <c r="BA166" s="79"/>
      <c r="BB166" s="79"/>
      <c r="BC166" s="79"/>
      <c r="BD166" s="79"/>
      <c r="BE166" s="79"/>
      <c r="BF166" s="79"/>
      <c r="BG166" s="79"/>
      <c r="BH166" s="79"/>
      <c r="BI166" s="79"/>
      <c r="BJ166" s="79"/>
      <c r="BK166" s="79"/>
      <c r="BL166" s="79"/>
      <c r="BM166" s="79"/>
      <c r="BN166" s="79"/>
      <c r="BO166" s="79"/>
      <c r="BP166" s="79"/>
      <c r="BQ166" s="79"/>
      <c r="BR166" s="79"/>
      <c r="BS166" s="79"/>
      <c r="BT166" s="79"/>
      <c r="BU166" s="79"/>
      <c r="BV166" s="79"/>
      <c r="BW166" s="79"/>
      <c r="BX166" s="79"/>
      <c r="BY166" s="79"/>
      <c r="BZ166" s="79"/>
      <c r="CA166" s="79"/>
      <c r="CB166" s="79"/>
      <c r="CC166" s="79"/>
      <c r="CD166" s="79"/>
      <c r="CE166" s="79"/>
      <c r="CF166" s="79"/>
      <c r="CG166" s="79"/>
      <c r="CH166" s="79"/>
      <c r="CI166" s="79"/>
      <c r="CJ166" s="79"/>
      <c r="CK166" s="79"/>
      <c r="CL166" s="79"/>
      <c r="CM166" s="79"/>
      <c r="CN166" s="79"/>
      <c r="CO166" s="79"/>
      <c r="CP166" s="79"/>
      <c r="CQ166" s="79"/>
      <c r="CR166" s="79"/>
      <c r="CS166" s="79"/>
      <c r="CT166" s="79"/>
      <c r="CU166" s="79"/>
      <c r="CV166" s="79"/>
      <c r="CW166" s="79"/>
      <c r="CX166" s="79"/>
      <c r="CY166" s="79"/>
      <c r="CZ166" s="79"/>
      <c r="DA166" s="79"/>
      <c r="DB166" s="79"/>
      <c r="DC166" s="79"/>
      <c r="DD166" s="79"/>
      <c r="DE166" s="79"/>
      <c r="DF166" s="79"/>
      <c r="DG166" s="79"/>
      <c r="DH166" s="79"/>
      <c r="DI166" s="79"/>
      <c r="DJ166" s="79"/>
      <c r="DK166" s="79"/>
      <c r="DL166" s="79"/>
      <c r="DM166" s="79"/>
      <c r="DN166" s="79"/>
      <c r="DO166" s="79"/>
      <c r="DP166" s="79"/>
      <c r="DQ166" s="79"/>
      <c r="DR166" s="79"/>
      <c r="DS166" s="79"/>
      <c r="DT166" s="79"/>
      <c r="DU166" s="79"/>
      <c r="DV166" s="79"/>
      <c r="DW166" s="79"/>
      <c r="DX166" s="79"/>
      <c r="DY166" s="79"/>
      <c r="DZ166" s="79"/>
      <c r="EA166" s="79"/>
    </row>
    <row r="167" spans="1:131" s="78" customFormat="1" ht="68" outlineLevel="1">
      <c r="A167" s="99" t="s">
        <v>357</v>
      </c>
      <c r="B167" s="102" t="s">
        <v>5</v>
      </c>
      <c r="C167" s="103" t="s">
        <v>6</v>
      </c>
      <c r="D167" s="104" t="s">
        <v>836</v>
      </c>
      <c r="E167" s="104" t="s">
        <v>391</v>
      </c>
      <c r="F167" s="103" t="s">
        <v>303</v>
      </c>
      <c r="G167" s="103" t="s">
        <v>834</v>
      </c>
      <c r="H167" s="192" t="s">
        <v>512</v>
      </c>
      <c r="I167" s="102" t="s">
        <v>837</v>
      </c>
      <c r="J167" s="102" t="s">
        <v>312</v>
      </c>
      <c r="K167" s="213">
        <v>80</v>
      </c>
      <c r="L167" s="192">
        <v>500</v>
      </c>
      <c r="M167" s="102" t="s">
        <v>298</v>
      </c>
      <c r="N167" s="103" t="s">
        <v>409</v>
      </c>
      <c r="O167" s="102" t="s">
        <v>299</v>
      </c>
      <c r="P167" s="102" t="s">
        <v>304</v>
      </c>
      <c r="Q167" s="102" t="s">
        <v>328</v>
      </c>
      <c r="R167" s="102" t="s">
        <v>314</v>
      </c>
      <c r="S167" s="102" t="s">
        <v>381</v>
      </c>
      <c r="T167" s="79"/>
      <c r="U167" s="79"/>
      <c r="V167" s="79"/>
      <c r="W167" s="79"/>
      <c r="X167" s="79"/>
      <c r="Y167" s="79"/>
      <c r="Z167" s="79"/>
      <c r="AA167" s="79"/>
      <c r="AB167" s="79"/>
      <c r="AC167" s="79"/>
      <c r="AD167" s="79"/>
      <c r="AE167" s="79"/>
      <c r="AF167" s="79"/>
      <c r="AG167" s="79"/>
      <c r="AH167" s="79"/>
      <c r="AI167" s="79"/>
      <c r="AJ167" s="79"/>
      <c r="AK167" s="79"/>
      <c r="AL167" s="79"/>
      <c r="AM167" s="79"/>
      <c r="AN167" s="79"/>
      <c r="AO167" s="79"/>
      <c r="AP167" s="79"/>
      <c r="AQ167" s="79"/>
      <c r="AR167" s="79"/>
      <c r="AS167" s="79"/>
      <c r="AT167" s="79"/>
      <c r="AU167" s="79"/>
      <c r="AV167" s="79"/>
      <c r="AW167" s="79"/>
      <c r="AX167" s="79"/>
      <c r="AY167" s="79"/>
      <c r="AZ167" s="79"/>
      <c r="BA167" s="79"/>
      <c r="BB167" s="79"/>
      <c r="BC167" s="79"/>
      <c r="BD167" s="79"/>
      <c r="BE167" s="79"/>
      <c r="BF167" s="79"/>
      <c r="BG167" s="79"/>
      <c r="BH167" s="79"/>
      <c r="BI167" s="79"/>
      <c r="BJ167" s="79"/>
      <c r="BK167" s="79"/>
      <c r="BL167" s="79"/>
      <c r="BM167" s="79"/>
      <c r="BN167" s="79"/>
      <c r="BO167" s="79"/>
      <c r="BP167" s="79"/>
      <c r="BQ167" s="79"/>
      <c r="BR167" s="79"/>
      <c r="BS167" s="79"/>
      <c r="BT167" s="79"/>
      <c r="BU167" s="79"/>
      <c r="BV167" s="79"/>
      <c r="BW167" s="79"/>
      <c r="BX167" s="79"/>
      <c r="BY167" s="79"/>
      <c r="BZ167" s="79"/>
      <c r="CA167" s="79"/>
      <c r="CB167" s="79"/>
      <c r="CC167" s="79"/>
      <c r="CD167" s="79"/>
      <c r="CE167" s="79"/>
      <c r="CF167" s="79"/>
      <c r="CG167" s="79"/>
      <c r="CH167" s="79"/>
      <c r="CI167" s="79"/>
      <c r="CJ167" s="79"/>
      <c r="CK167" s="79"/>
      <c r="CL167" s="79"/>
      <c r="CM167" s="79"/>
      <c r="CN167" s="79"/>
      <c r="CO167" s="79"/>
      <c r="CP167" s="79"/>
      <c r="CQ167" s="79"/>
      <c r="CR167" s="79"/>
      <c r="CS167" s="79"/>
      <c r="CT167" s="79"/>
      <c r="CU167" s="79"/>
      <c r="CV167" s="79"/>
      <c r="CW167" s="79"/>
      <c r="CX167" s="79"/>
      <c r="CY167" s="79"/>
      <c r="CZ167" s="79"/>
      <c r="DA167" s="79"/>
      <c r="DB167" s="79"/>
      <c r="DC167" s="79"/>
      <c r="DD167" s="79"/>
      <c r="DE167" s="79"/>
      <c r="DF167" s="79"/>
      <c r="DG167" s="79"/>
      <c r="DH167" s="79"/>
      <c r="DI167" s="79"/>
      <c r="DJ167" s="79"/>
      <c r="DK167" s="79"/>
      <c r="DL167" s="79"/>
      <c r="DM167" s="79"/>
      <c r="DN167" s="79"/>
      <c r="DO167" s="79"/>
      <c r="DP167" s="79"/>
      <c r="DQ167" s="79"/>
      <c r="DR167" s="79"/>
      <c r="DS167" s="79"/>
      <c r="DT167" s="79"/>
      <c r="DU167" s="79"/>
      <c r="DV167" s="79"/>
      <c r="DW167" s="79"/>
      <c r="DX167" s="79"/>
      <c r="DY167" s="79"/>
      <c r="DZ167" s="79"/>
      <c r="EA167" s="79"/>
    </row>
    <row r="168" spans="1:131" s="78" customFormat="1" ht="61.5" customHeight="1" outlineLevel="1">
      <c r="A168" s="99" t="s">
        <v>357</v>
      </c>
      <c r="B168" s="102" t="s">
        <v>5</v>
      </c>
      <c r="C168" s="103" t="s">
        <v>6</v>
      </c>
      <c r="D168" s="104" t="s">
        <v>838</v>
      </c>
      <c r="E168" s="104" t="s">
        <v>391</v>
      </c>
      <c r="F168" s="103" t="s">
        <v>303</v>
      </c>
      <c r="G168" s="193" t="s">
        <v>322</v>
      </c>
      <c r="H168" s="194" t="s">
        <v>839</v>
      </c>
      <c r="I168" s="214" t="s">
        <v>840</v>
      </c>
      <c r="J168" s="102" t="s">
        <v>312</v>
      </c>
      <c r="K168" s="215">
        <v>24</v>
      </c>
      <c r="L168" s="216">
        <v>12</v>
      </c>
      <c r="M168" s="102" t="s">
        <v>298</v>
      </c>
      <c r="N168" s="103" t="s">
        <v>841</v>
      </c>
      <c r="O168" s="102" t="s">
        <v>299</v>
      </c>
      <c r="P168" s="102" t="s">
        <v>304</v>
      </c>
      <c r="Q168" s="102" t="s">
        <v>328</v>
      </c>
      <c r="R168" s="102" t="s">
        <v>314</v>
      </c>
      <c r="S168" s="102" t="s">
        <v>842</v>
      </c>
      <c r="T168" s="79"/>
      <c r="U168" s="79"/>
      <c r="V168" s="79"/>
      <c r="W168" s="79"/>
      <c r="X168" s="79"/>
      <c r="Y168" s="79"/>
      <c r="Z168" s="79"/>
      <c r="AA168" s="79"/>
      <c r="AB168" s="79"/>
      <c r="AC168" s="79"/>
      <c r="AD168" s="79"/>
      <c r="AE168" s="79"/>
      <c r="AF168" s="79"/>
      <c r="AG168" s="79"/>
      <c r="AH168" s="79"/>
      <c r="AI168" s="79"/>
      <c r="AJ168" s="79"/>
      <c r="AK168" s="79"/>
      <c r="AL168" s="79"/>
      <c r="AM168" s="79"/>
      <c r="AN168" s="79"/>
      <c r="AO168" s="79"/>
      <c r="AP168" s="79"/>
      <c r="AQ168" s="79"/>
      <c r="AR168" s="79"/>
      <c r="AS168" s="79"/>
      <c r="AT168" s="79"/>
      <c r="AU168" s="79"/>
      <c r="AV168" s="79"/>
      <c r="AW168" s="79"/>
      <c r="AX168" s="79"/>
      <c r="AY168" s="79"/>
      <c r="AZ168" s="79"/>
      <c r="BA168" s="79"/>
      <c r="BB168" s="79"/>
      <c r="BC168" s="79"/>
      <c r="BD168" s="79"/>
      <c r="BE168" s="79"/>
      <c r="BF168" s="79"/>
      <c r="BG168" s="79"/>
      <c r="BH168" s="79"/>
      <c r="BI168" s="79"/>
      <c r="BJ168" s="79"/>
      <c r="BK168" s="79"/>
      <c r="BL168" s="79"/>
      <c r="BM168" s="79"/>
      <c r="BN168" s="79"/>
      <c r="BO168" s="79"/>
      <c r="BP168" s="79"/>
      <c r="BQ168" s="79"/>
      <c r="BR168" s="79"/>
      <c r="BS168" s="79"/>
      <c r="BT168" s="79"/>
      <c r="BU168" s="79"/>
      <c r="BV168" s="79"/>
      <c r="BW168" s="79"/>
      <c r="BX168" s="79"/>
      <c r="BY168" s="79"/>
      <c r="BZ168" s="79"/>
      <c r="CA168" s="79"/>
      <c r="CB168" s="79"/>
      <c r="CC168" s="79"/>
      <c r="CD168" s="79"/>
      <c r="CE168" s="79"/>
      <c r="CF168" s="79"/>
      <c r="CG168" s="79"/>
      <c r="CH168" s="79"/>
      <c r="CI168" s="79"/>
      <c r="CJ168" s="79"/>
      <c r="CK168" s="79"/>
      <c r="CL168" s="79"/>
      <c r="CM168" s="79"/>
      <c r="CN168" s="79"/>
      <c r="CO168" s="79"/>
      <c r="CP168" s="79"/>
      <c r="CQ168" s="79"/>
      <c r="CR168" s="79"/>
      <c r="CS168" s="79"/>
      <c r="CT168" s="79"/>
      <c r="CU168" s="79"/>
      <c r="CV168" s="79"/>
      <c r="CW168" s="79"/>
      <c r="CX168" s="79"/>
      <c r="CY168" s="79"/>
      <c r="CZ168" s="79"/>
      <c r="DA168" s="79"/>
      <c r="DB168" s="79"/>
      <c r="DC168" s="79"/>
      <c r="DD168" s="79"/>
      <c r="DE168" s="79"/>
      <c r="DF168" s="79"/>
      <c r="DG168" s="79"/>
      <c r="DH168" s="79"/>
      <c r="DI168" s="79"/>
      <c r="DJ168" s="79"/>
      <c r="DK168" s="79"/>
      <c r="DL168" s="79"/>
      <c r="DM168" s="79"/>
      <c r="DN168" s="79"/>
      <c r="DO168" s="79"/>
      <c r="DP168" s="79"/>
      <c r="DQ168" s="79"/>
      <c r="DR168" s="79"/>
      <c r="DS168" s="79"/>
      <c r="DT168" s="79"/>
      <c r="DU168" s="79"/>
      <c r="DV168" s="79"/>
      <c r="DW168" s="79"/>
      <c r="DX168" s="79"/>
      <c r="DY168" s="79"/>
      <c r="DZ168" s="79"/>
      <c r="EA168" s="79"/>
    </row>
    <row r="169" spans="1:131" s="78" customFormat="1" ht="49.5" customHeight="1" outlineLevel="1">
      <c r="A169" s="99" t="s">
        <v>357</v>
      </c>
      <c r="B169" s="102" t="s">
        <v>5</v>
      </c>
      <c r="C169" s="103" t="s">
        <v>6</v>
      </c>
      <c r="D169" s="104" t="s">
        <v>843</v>
      </c>
      <c r="E169" s="104" t="s">
        <v>391</v>
      </c>
      <c r="F169" s="103" t="s">
        <v>303</v>
      </c>
      <c r="G169" s="104" t="s">
        <v>322</v>
      </c>
      <c r="H169" s="104" t="s">
        <v>844</v>
      </c>
      <c r="I169" s="104" t="s">
        <v>845</v>
      </c>
      <c r="J169" s="102" t="s">
        <v>312</v>
      </c>
      <c r="K169" s="104">
        <v>1</v>
      </c>
      <c r="L169" s="104">
        <v>13</v>
      </c>
      <c r="M169" s="102" t="s">
        <v>298</v>
      </c>
      <c r="N169" s="103" t="s">
        <v>841</v>
      </c>
      <c r="O169" s="102" t="s">
        <v>299</v>
      </c>
      <c r="P169" s="102" t="s">
        <v>304</v>
      </c>
      <c r="Q169" s="102" t="s">
        <v>328</v>
      </c>
      <c r="R169" s="102" t="s">
        <v>314</v>
      </c>
      <c r="S169" s="225" t="s">
        <v>846</v>
      </c>
      <c r="T169" s="79"/>
      <c r="U169" s="79"/>
      <c r="V169" s="79"/>
      <c r="W169" s="79"/>
      <c r="X169" s="79"/>
      <c r="Y169" s="79"/>
      <c r="Z169" s="79"/>
      <c r="AA169" s="79"/>
      <c r="AB169" s="79"/>
      <c r="AC169" s="79"/>
      <c r="AD169" s="79"/>
      <c r="AE169" s="79"/>
      <c r="AF169" s="79"/>
      <c r="AG169" s="79"/>
      <c r="AH169" s="79"/>
      <c r="AI169" s="79"/>
      <c r="AJ169" s="79"/>
      <c r="AK169" s="79"/>
      <c r="AL169" s="79"/>
      <c r="AM169" s="79"/>
      <c r="AN169" s="79"/>
      <c r="AO169" s="79"/>
      <c r="AP169" s="79"/>
      <c r="AQ169" s="79"/>
      <c r="AR169" s="79"/>
      <c r="AS169" s="79"/>
      <c r="AT169" s="79"/>
      <c r="AU169" s="79"/>
      <c r="AV169" s="79"/>
      <c r="AW169" s="79"/>
      <c r="AX169" s="79"/>
      <c r="AY169" s="79"/>
      <c r="AZ169" s="79"/>
      <c r="BA169" s="79"/>
      <c r="BB169" s="79"/>
      <c r="BC169" s="79"/>
      <c r="BD169" s="79"/>
      <c r="BE169" s="79"/>
      <c r="BF169" s="79"/>
      <c r="BG169" s="79"/>
      <c r="BH169" s="79"/>
      <c r="BI169" s="79"/>
      <c r="BJ169" s="79"/>
      <c r="BK169" s="79"/>
      <c r="BL169" s="79"/>
      <c r="BM169" s="79"/>
      <c r="BN169" s="79"/>
      <c r="BO169" s="79"/>
      <c r="BP169" s="79"/>
      <c r="BQ169" s="79"/>
      <c r="BR169" s="79"/>
      <c r="BS169" s="79"/>
      <c r="BT169" s="79"/>
      <c r="BU169" s="79"/>
      <c r="BV169" s="79"/>
      <c r="BW169" s="79"/>
      <c r="BX169" s="79"/>
      <c r="BY169" s="79"/>
      <c r="BZ169" s="79"/>
      <c r="CA169" s="79"/>
      <c r="CB169" s="79"/>
      <c r="CC169" s="79"/>
      <c r="CD169" s="79"/>
      <c r="CE169" s="79"/>
      <c r="CF169" s="79"/>
      <c r="CG169" s="79"/>
      <c r="CH169" s="79"/>
      <c r="CI169" s="79"/>
      <c r="CJ169" s="79"/>
      <c r="CK169" s="79"/>
      <c r="CL169" s="79"/>
      <c r="CM169" s="79"/>
      <c r="CN169" s="79"/>
      <c r="CO169" s="79"/>
      <c r="CP169" s="79"/>
      <c r="CQ169" s="79"/>
      <c r="CR169" s="79"/>
      <c r="CS169" s="79"/>
      <c r="CT169" s="79"/>
      <c r="CU169" s="79"/>
      <c r="CV169" s="79"/>
      <c r="CW169" s="79"/>
      <c r="CX169" s="79"/>
      <c r="CY169" s="79"/>
      <c r="CZ169" s="79"/>
      <c r="DA169" s="79"/>
      <c r="DB169" s="79"/>
      <c r="DC169" s="79"/>
      <c r="DD169" s="79"/>
      <c r="DE169" s="79"/>
      <c r="DF169" s="79"/>
      <c r="DG169" s="79"/>
      <c r="DH169" s="79"/>
      <c r="DI169" s="79"/>
      <c r="DJ169" s="79"/>
      <c r="DK169" s="79"/>
      <c r="DL169" s="79"/>
      <c r="DM169" s="79"/>
      <c r="DN169" s="79"/>
      <c r="DO169" s="79"/>
      <c r="DP169" s="79"/>
      <c r="DQ169" s="79"/>
      <c r="DR169" s="79"/>
      <c r="DS169" s="79"/>
      <c r="DT169" s="79"/>
      <c r="DU169" s="79"/>
      <c r="DV169" s="79"/>
      <c r="DW169" s="79"/>
      <c r="DX169" s="79"/>
      <c r="DY169" s="79"/>
      <c r="DZ169" s="79"/>
      <c r="EA169" s="79"/>
    </row>
    <row r="170" spans="1:131" ht="70.5" customHeight="1">
      <c r="A170" s="164" t="s">
        <v>357</v>
      </c>
      <c r="B170" s="165" t="s">
        <v>22</v>
      </c>
      <c r="C170" s="165" t="s">
        <v>325</v>
      </c>
      <c r="D170" s="166" t="s">
        <v>847</v>
      </c>
      <c r="E170" s="166" t="s">
        <v>354</v>
      </c>
      <c r="F170" s="166" t="s">
        <v>303</v>
      </c>
      <c r="G170" s="166" t="s">
        <v>848</v>
      </c>
      <c r="H170" s="166" t="s">
        <v>422</v>
      </c>
      <c r="I170" s="166" t="s">
        <v>849</v>
      </c>
      <c r="J170" s="217" t="s">
        <v>312</v>
      </c>
      <c r="K170" s="186">
        <v>80</v>
      </c>
      <c r="L170" s="186">
        <v>2</v>
      </c>
      <c r="M170" s="186" t="s">
        <v>298</v>
      </c>
      <c r="N170" s="185" t="s">
        <v>850</v>
      </c>
      <c r="O170" s="186" t="s">
        <v>299</v>
      </c>
      <c r="P170" s="186" t="s">
        <v>300</v>
      </c>
      <c r="Q170" s="186" t="s">
        <v>305</v>
      </c>
      <c r="R170" s="186" t="s">
        <v>302</v>
      </c>
      <c r="S170" s="186"/>
    </row>
    <row r="171" spans="1:131" ht="102">
      <c r="A171" s="164" t="s">
        <v>357</v>
      </c>
      <c r="B171" s="165" t="s">
        <v>22</v>
      </c>
      <c r="C171" s="165" t="s">
        <v>325</v>
      </c>
      <c r="D171" s="166" t="s">
        <v>851</v>
      </c>
      <c r="E171" s="166" t="s">
        <v>852</v>
      </c>
      <c r="F171" s="166" t="s">
        <v>303</v>
      </c>
      <c r="G171" s="166" t="s">
        <v>853</v>
      </c>
      <c r="H171" s="166" t="s">
        <v>422</v>
      </c>
      <c r="I171" s="166" t="s">
        <v>854</v>
      </c>
      <c r="J171" s="217" t="s">
        <v>312</v>
      </c>
      <c r="K171" s="186">
        <v>80</v>
      </c>
      <c r="L171" s="186">
        <v>2</v>
      </c>
      <c r="M171" s="186" t="s">
        <v>298</v>
      </c>
      <c r="N171" s="185" t="s">
        <v>855</v>
      </c>
      <c r="O171" s="186" t="s">
        <v>299</v>
      </c>
      <c r="P171" s="186" t="s">
        <v>300</v>
      </c>
      <c r="Q171" s="186" t="s">
        <v>305</v>
      </c>
      <c r="R171" s="186" t="s">
        <v>302</v>
      </c>
      <c r="S171" s="186"/>
    </row>
    <row r="172" spans="1:131" ht="85">
      <c r="A172" s="195" t="s">
        <v>357</v>
      </c>
      <c r="B172" s="196" t="s">
        <v>22</v>
      </c>
      <c r="C172" s="165" t="s">
        <v>325</v>
      </c>
      <c r="D172" s="196" t="s">
        <v>856</v>
      </c>
      <c r="E172" s="196" t="s">
        <v>857</v>
      </c>
      <c r="F172" s="196" t="s">
        <v>336</v>
      </c>
      <c r="G172" s="196" t="s">
        <v>858</v>
      </c>
      <c r="H172" s="196" t="s">
        <v>859</v>
      </c>
      <c r="I172" s="196" t="s">
        <v>849</v>
      </c>
      <c r="J172" s="217" t="s">
        <v>312</v>
      </c>
      <c r="K172" s="186">
        <v>80</v>
      </c>
      <c r="L172" s="186">
        <v>1</v>
      </c>
      <c r="M172" s="186" t="s">
        <v>298</v>
      </c>
      <c r="N172" s="185" t="s">
        <v>860</v>
      </c>
      <c r="O172" s="186" t="s">
        <v>299</v>
      </c>
      <c r="P172" s="186" t="s">
        <v>300</v>
      </c>
      <c r="Q172" s="186" t="s">
        <v>305</v>
      </c>
      <c r="R172" s="186" t="s">
        <v>302</v>
      </c>
      <c r="S172" s="186"/>
    </row>
    <row r="173" spans="1:131" s="89" customFormat="1" ht="81.75" customHeight="1">
      <c r="A173" s="164" t="s">
        <v>357</v>
      </c>
      <c r="B173" s="164" t="s">
        <v>24</v>
      </c>
      <c r="C173" s="165" t="s">
        <v>25</v>
      </c>
      <c r="D173" s="165" t="s">
        <v>861</v>
      </c>
      <c r="E173" s="165" t="s">
        <v>862</v>
      </c>
      <c r="F173" s="165" t="s">
        <v>336</v>
      </c>
      <c r="G173" s="165" t="s">
        <v>349</v>
      </c>
      <c r="H173" s="197" t="s">
        <v>569</v>
      </c>
      <c r="I173" s="197" t="s">
        <v>863</v>
      </c>
      <c r="J173" s="217" t="s">
        <v>312</v>
      </c>
      <c r="K173" s="218">
        <v>200</v>
      </c>
      <c r="L173" s="218">
        <v>6000</v>
      </c>
      <c r="M173" s="186" t="s">
        <v>298</v>
      </c>
      <c r="N173" s="185" t="s">
        <v>864</v>
      </c>
      <c r="O173" s="186" t="s">
        <v>299</v>
      </c>
      <c r="P173" s="186" t="s">
        <v>300</v>
      </c>
      <c r="Q173" s="186" t="s">
        <v>305</v>
      </c>
      <c r="R173" s="186" t="s">
        <v>302</v>
      </c>
      <c r="S173" s="186"/>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c r="AV173" s="82"/>
      <c r="AW173" s="82"/>
      <c r="AX173" s="82"/>
      <c r="AY173" s="82"/>
      <c r="AZ173" s="82"/>
      <c r="BA173" s="82"/>
      <c r="BB173" s="82"/>
      <c r="BC173" s="82"/>
      <c r="BD173" s="82"/>
      <c r="BE173" s="82"/>
      <c r="BF173" s="82"/>
      <c r="BG173" s="82"/>
      <c r="BH173" s="82"/>
      <c r="BI173" s="82"/>
      <c r="BJ173" s="82"/>
      <c r="BK173" s="82"/>
      <c r="BL173" s="82"/>
      <c r="BM173" s="82"/>
      <c r="BN173" s="82"/>
      <c r="BO173" s="82"/>
      <c r="BP173" s="82"/>
      <c r="BQ173" s="82"/>
      <c r="BR173" s="82"/>
      <c r="BS173" s="82"/>
      <c r="BT173" s="82"/>
      <c r="BU173" s="82"/>
      <c r="BV173" s="82"/>
      <c r="BW173" s="82"/>
      <c r="BX173" s="82"/>
      <c r="BY173" s="82"/>
      <c r="BZ173" s="82"/>
      <c r="CA173" s="82"/>
      <c r="CB173" s="82"/>
      <c r="CC173" s="82"/>
      <c r="CD173" s="82"/>
      <c r="CE173" s="82"/>
      <c r="CF173" s="82"/>
      <c r="CG173" s="82"/>
      <c r="CH173" s="82"/>
      <c r="CI173" s="82"/>
      <c r="CJ173" s="82"/>
      <c r="CK173" s="82"/>
      <c r="CL173" s="82"/>
      <c r="CM173" s="82"/>
      <c r="CN173" s="82"/>
      <c r="CO173" s="82"/>
      <c r="CP173" s="82"/>
      <c r="CQ173" s="82"/>
      <c r="CR173" s="82"/>
      <c r="CS173" s="82"/>
      <c r="CT173" s="82"/>
      <c r="CU173" s="82"/>
      <c r="CV173" s="82"/>
      <c r="CW173" s="82"/>
      <c r="CX173" s="82"/>
      <c r="CY173" s="82"/>
      <c r="CZ173" s="82"/>
      <c r="DA173" s="82"/>
      <c r="DB173" s="82"/>
      <c r="DC173" s="82"/>
      <c r="DD173" s="82"/>
      <c r="DE173" s="82"/>
      <c r="DF173" s="82"/>
      <c r="DG173" s="82"/>
      <c r="DH173" s="82"/>
      <c r="DI173" s="82"/>
      <c r="DJ173" s="82"/>
      <c r="DK173" s="82"/>
      <c r="DL173" s="82"/>
      <c r="DM173" s="82"/>
      <c r="DN173" s="82"/>
      <c r="DO173" s="82"/>
      <c r="DP173" s="82"/>
      <c r="DQ173" s="82"/>
      <c r="DR173" s="82"/>
      <c r="DS173" s="82"/>
      <c r="DT173" s="82"/>
      <c r="DU173" s="82"/>
      <c r="DV173" s="82"/>
      <c r="DW173" s="82"/>
      <c r="DX173" s="82"/>
      <c r="DY173" s="82"/>
      <c r="DZ173" s="82"/>
      <c r="EA173" s="82"/>
    </row>
    <row r="174" spans="1:131" s="90" customFormat="1" ht="70.5" customHeight="1">
      <c r="A174" s="198" t="s">
        <v>357</v>
      </c>
      <c r="B174" s="198" t="s">
        <v>37</v>
      </c>
      <c r="C174" s="199" t="s">
        <v>38</v>
      </c>
      <c r="D174" s="199" t="s">
        <v>865</v>
      </c>
      <c r="E174" s="199" t="s">
        <v>866</v>
      </c>
      <c r="F174" s="200" t="s">
        <v>303</v>
      </c>
      <c r="G174" s="199" t="s">
        <v>322</v>
      </c>
      <c r="H174" s="201" t="s">
        <v>867</v>
      </c>
      <c r="I174" s="200" t="s">
        <v>868</v>
      </c>
      <c r="J174" s="219" t="s">
        <v>869</v>
      </c>
      <c r="K174" s="220">
        <f>K175+K176+K177+K177+K178+K179+K180+K181+K182+K183+K184+K185+K186+K187+K188</f>
        <v>344</v>
      </c>
      <c r="L174" s="220">
        <f>L175+L176+L177+L177+L178+L179+L180+L181+L182+L183+L184+L185+L186+L187+L188</f>
        <v>463</v>
      </c>
      <c r="M174" s="220" t="s">
        <v>298</v>
      </c>
      <c r="N174" s="220"/>
      <c r="O174" s="220"/>
      <c r="P174" s="220"/>
      <c r="Q174" s="220"/>
      <c r="R174" s="220"/>
      <c r="S174" s="220"/>
      <c r="T174" s="93"/>
      <c r="U174" s="93"/>
      <c r="V174" s="93"/>
      <c r="W174" s="93"/>
      <c r="X174" s="93"/>
      <c r="Y174" s="93"/>
      <c r="Z174" s="93"/>
      <c r="AA174" s="93"/>
      <c r="AB174" s="93"/>
      <c r="AC174" s="93"/>
      <c r="AD174" s="93"/>
      <c r="AE174" s="93"/>
      <c r="AF174" s="93"/>
      <c r="AG174" s="93"/>
      <c r="AH174" s="93"/>
      <c r="AI174" s="93"/>
      <c r="AJ174" s="93"/>
      <c r="AK174" s="93"/>
      <c r="AL174" s="93"/>
      <c r="AM174" s="93"/>
      <c r="AN174" s="93"/>
      <c r="AO174" s="93"/>
      <c r="AP174" s="93"/>
      <c r="AQ174" s="93"/>
      <c r="AR174" s="93"/>
      <c r="AS174" s="93"/>
      <c r="AT174" s="93"/>
      <c r="AU174" s="93"/>
      <c r="AV174" s="93"/>
      <c r="AW174" s="93"/>
      <c r="AX174" s="93"/>
      <c r="AY174" s="93"/>
      <c r="AZ174" s="93"/>
      <c r="BA174" s="93"/>
      <c r="BB174" s="93"/>
      <c r="BC174" s="93"/>
      <c r="BD174" s="93"/>
      <c r="BE174" s="93"/>
      <c r="BF174" s="93"/>
      <c r="BG174" s="93"/>
      <c r="BH174" s="93"/>
      <c r="BI174" s="93"/>
      <c r="BJ174" s="93"/>
      <c r="BK174" s="93"/>
      <c r="BL174" s="93"/>
      <c r="BM174" s="93"/>
      <c r="BN174" s="93"/>
      <c r="BO174" s="93"/>
      <c r="BP174" s="93"/>
      <c r="BQ174" s="93"/>
      <c r="BR174" s="93"/>
      <c r="BS174" s="93"/>
      <c r="BT174" s="93"/>
      <c r="BU174" s="93"/>
      <c r="BV174" s="93"/>
      <c r="BW174" s="93"/>
      <c r="BX174" s="93"/>
      <c r="BY174" s="93"/>
      <c r="BZ174" s="93"/>
      <c r="CA174" s="93"/>
      <c r="CB174" s="93"/>
      <c r="CC174" s="93"/>
      <c r="CD174" s="93"/>
      <c r="CE174" s="93"/>
      <c r="CF174" s="93"/>
      <c r="CG174" s="93"/>
      <c r="CH174" s="93"/>
      <c r="CI174" s="93"/>
      <c r="CJ174" s="93"/>
      <c r="CK174" s="93"/>
      <c r="CL174" s="93"/>
      <c r="CM174" s="93"/>
      <c r="CN174" s="93"/>
      <c r="CO174" s="93"/>
      <c r="CP174" s="93"/>
      <c r="CQ174" s="93"/>
      <c r="CR174" s="93"/>
      <c r="CS174" s="93"/>
      <c r="CT174" s="93"/>
      <c r="CU174" s="93"/>
      <c r="CV174" s="93"/>
      <c r="CW174" s="93"/>
      <c r="CX174" s="93"/>
      <c r="CY174" s="93"/>
      <c r="CZ174" s="93"/>
      <c r="DA174" s="93"/>
      <c r="DB174" s="93"/>
      <c r="DC174" s="93"/>
      <c r="DD174" s="93"/>
      <c r="DE174" s="93"/>
      <c r="DF174" s="93"/>
      <c r="DG174" s="93"/>
      <c r="DH174" s="93"/>
      <c r="DI174" s="93"/>
      <c r="DJ174" s="93"/>
      <c r="DK174" s="93"/>
      <c r="DL174" s="93"/>
      <c r="DM174" s="93"/>
      <c r="DN174" s="93"/>
      <c r="DO174" s="93"/>
      <c r="DP174" s="93"/>
      <c r="DQ174" s="93"/>
      <c r="DR174" s="93"/>
      <c r="DS174" s="93"/>
      <c r="DT174" s="93"/>
      <c r="DU174" s="93"/>
      <c r="DV174" s="93"/>
      <c r="DW174" s="93"/>
      <c r="DX174" s="93"/>
      <c r="DY174" s="93"/>
      <c r="DZ174" s="93"/>
      <c r="EA174" s="93"/>
    </row>
    <row r="175" spans="1:131" s="91" customFormat="1" ht="45.75" customHeight="1" outlineLevel="1">
      <c r="A175" s="202" t="s">
        <v>357</v>
      </c>
      <c r="B175" s="202" t="s">
        <v>37</v>
      </c>
      <c r="C175" s="203" t="s">
        <v>38</v>
      </c>
      <c r="D175" s="203" t="s">
        <v>870</v>
      </c>
      <c r="E175" s="203" t="s">
        <v>866</v>
      </c>
      <c r="F175" s="204" t="s">
        <v>303</v>
      </c>
      <c r="G175" s="203" t="s">
        <v>322</v>
      </c>
      <c r="H175" s="203" t="s">
        <v>871</v>
      </c>
      <c r="I175" s="203" t="s">
        <v>872</v>
      </c>
      <c r="J175" s="221" t="s">
        <v>869</v>
      </c>
      <c r="K175" s="222">
        <v>40</v>
      </c>
      <c r="L175" s="222">
        <v>35</v>
      </c>
      <c r="M175" s="223" t="s">
        <v>298</v>
      </c>
      <c r="N175" s="223"/>
      <c r="O175" s="223"/>
      <c r="P175" s="220"/>
      <c r="Q175" s="220"/>
      <c r="R175" s="220"/>
      <c r="S175" s="220"/>
      <c r="T175" s="92"/>
      <c r="U175" s="92"/>
      <c r="V175" s="92"/>
      <c r="W175" s="92"/>
      <c r="X175" s="92"/>
      <c r="Y175" s="92"/>
      <c r="Z175" s="92"/>
      <c r="AA175" s="92"/>
      <c r="AB175" s="92"/>
      <c r="AC175" s="92"/>
      <c r="AD175" s="92"/>
      <c r="AE175" s="92"/>
      <c r="AF175" s="92"/>
      <c r="AG175" s="92"/>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2"/>
      <c r="BL175" s="92"/>
      <c r="BM175" s="92"/>
      <c r="BN175" s="92"/>
      <c r="BO175" s="92"/>
      <c r="BP175" s="92"/>
      <c r="BQ175" s="92"/>
      <c r="BR175" s="92"/>
      <c r="BS175" s="92"/>
      <c r="BT175" s="92"/>
      <c r="BU175" s="92"/>
      <c r="BV175" s="92"/>
      <c r="BW175" s="92"/>
      <c r="BX175" s="92"/>
      <c r="BY175" s="92"/>
      <c r="BZ175" s="92"/>
      <c r="CA175" s="92"/>
      <c r="CB175" s="92"/>
      <c r="CC175" s="92"/>
      <c r="CD175" s="92"/>
      <c r="CE175" s="92"/>
      <c r="CF175" s="92"/>
      <c r="CG175" s="92"/>
      <c r="CH175" s="92"/>
      <c r="CI175" s="92"/>
      <c r="CJ175" s="92"/>
      <c r="CK175" s="92"/>
      <c r="CL175" s="92"/>
      <c r="CM175" s="92"/>
      <c r="CN175" s="92"/>
      <c r="CO175" s="92"/>
      <c r="CP175" s="92"/>
      <c r="CQ175" s="92"/>
      <c r="CR175" s="92"/>
      <c r="CS175" s="92"/>
      <c r="CT175" s="92"/>
      <c r="CU175" s="92"/>
      <c r="CV175" s="92"/>
      <c r="CW175" s="92"/>
      <c r="CX175" s="92"/>
      <c r="CY175" s="92"/>
      <c r="CZ175" s="92"/>
      <c r="DA175" s="92"/>
      <c r="DB175" s="92"/>
      <c r="DC175" s="92"/>
      <c r="DD175" s="92"/>
      <c r="DE175" s="92"/>
      <c r="DF175" s="92"/>
      <c r="DG175" s="92"/>
      <c r="DH175" s="92"/>
      <c r="DI175" s="92"/>
      <c r="DJ175" s="92"/>
      <c r="DK175" s="92"/>
      <c r="DL175" s="92"/>
      <c r="DM175" s="92"/>
      <c r="DN175" s="92"/>
      <c r="DO175" s="92"/>
      <c r="DP175" s="92"/>
      <c r="DQ175" s="92"/>
      <c r="DR175" s="92"/>
      <c r="DS175" s="92"/>
      <c r="DT175" s="92"/>
      <c r="DU175" s="92"/>
      <c r="DV175" s="92"/>
      <c r="DW175" s="92"/>
      <c r="DX175" s="92"/>
      <c r="DY175" s="92"/>
      <c r="DZ175" s="92"/>
      <c r="EA175" s="92"/>
    </row>
    <row r="176" spans="1:131" s="92" customFormat="1" ht="68" outlineLevel="1">
      <c r="A176" s="202" t="s">
        <v>357</v>
      </c>
      <c r="B176" s="202" t="s">
        <v>37</v>
      </c>
      <c r="C176" s="203" t="s">
        <v>38</v>
      </c>
      <c r="D176" s="203" t="s">
        <v>873</v>
      </c>
      <c r="E176" s="203" t="s">
        <v>866</v>
      </c>
      <c r="F176" s="204" t="s">
        <v>303</v>
      </c>
      <c r="G176" s="203" t="s">
        <v>322</v>
      </c>
      <c r="H176" s="203" t="s">
        <v>874</v>
      </c>
      <c r="I176" s="203" t="s">
        <v>875</v>
      </c>
      <c r="J176" s="221" t="s">
        <v>869</v>
      </c>
      <c r="K176" s="222">
        <v>40</v>
      </c>
      <c r="L176" s="224">
        <v>35</v>
      </c>
      <c r="M176" s="223" t="s">
        <v>298</v>
      </c>
      <c r="N176" s="223"/>
      <c r="O176" s="223"/>
      <c r="P176" s="220"/>
      <c r="Q176" s="220"/>
      <c r="R176" s="220"/>
      <c r="S176" s="220"/>
    </row>
    <row r="177" spans="1:19" s="92" customFormat="1" ht="119" outlineLevel="1">
      <c r="A177" s="202" t="s">
        <v>357</v>
      </c>
      <c r="B177" s="202" t="s">
        <v>37</v>
      </c>
      <c r="C177" s="203" t="s">
        <v>38</v>
      </c>
      <c r="D177" s="203" t="s">
        <v>876</v>
      </c>
      <c r="E177" s="203" t="s">
        <v>866</v>
      </c>
      <c r="F177" s="204" t="s">
        <v>303</v>
      </c>
      <c r="G177" s="203" t="s">
        <v>322</v>
      </c>
      <c r="H177" s="203" t="s">
        <v>875</v>
      </c>
      <c r="I177" s="203" t="s">
        <v>877</v>
      </c>
      <c r="J177" s="221" t="s">
        <v>869</v>
      </c>
      <c r="K177" s="222">
        <v>40</v>
      </c>
      <c r="L177" s="222">
        <v>35</v>
      </c>
      <c r="M177" s="223" t="s">
        <v>298</v>
      </c>
      <c r="N177" s="223"/>
      <c r="O177" s="223"/>
      <c r="P177" s="220"/>
      <c r="Q177" s="220"/>
      <c r="R177" s="220"/>
      <c r="S177" s="220"/>
    </row>
    <row r="178" spans="1:19" s="92" customFormat="1" ht="68" outlineLevel="1">
      <c r="A178" s="202" t="s">
        <v>357</v>
      </c>
      <c r="B178" s="202" t="s">
        <v>37</v>
      </c>
      <c r="C178" s="203" t="s">
        <v>38</v>
      </c>
      <c r="D178" s="203" t="s">
        <v>878</v>
      </c>
      <c r="E178" s="203" t="s">
        <v>866</v>
      </c>
      <c r="F178" s="204" t="s">
        <v>303</v>
      </c>
      <c r="G178" s="205" t="s">
        <v>322</v>
      </c>
      <c r="H178" s="203" t="s">
        <v>875</v>
      </c>
      <c r="I178" s="203" t="s">
        <v>879</v>
      </c>
      <c r="J178" s="221" t="s">
        <v>869</v>
      </c>
      <c r="K178" s="222">
        <v>40</v>
      </c>
      <c r="L178" s="222">
        <v>35</v>
      </c>
      <c r="M178" s="223" t="s">
        <v>298</v>
      </c>
      <c r="N178" s="223"/>
      <c r="O178" s="223"/>
      <c r="P178" s="220"/>
      <c r="Q178" s="220"/>
      <c r="R178" s="220"/>
      <c r="S178" s="220"/>
    </row>
    <row r="179" spans="1:19" s="92" customFormat="1" ht="68" outlineLevel="1">
      <c r="A179" s="206" t="s">
        <v>357</v>
      </c>
      <c r="B179" s="202" t="s">
        <v>37</v>
      </c>
      <c r="C179" s="203" t="s">
        <v>38</v>
      </c>
      <c r="D179" s="207" t="s">
        <v>880</v>
      </c>
      <c r="E179" s="203" t="s">
        <v>866</v>
      </c>
      <c r="F179" s="204" t="s">
        <v>303</v>
      </c>
      <c r="G179" s="203" t="s">
        <v>322</v>
      </c>
      <c r="H179" s="203" t="s">
        <v>879</v>
      </c>
      <c r="I179" s="203" t="s">
        <v>881</v>
      </c>
      <c r="J179" s="221" t="s">
        <v>869</v>
      </c>
      <c r="K179" s="222">
        <v>2</v>
      </c>
      <c r="L179" s="222">
        <v>35</v>
      </c>
      <c r="M179" s="223" t="s">
        <v>298</v>
      </c>
      <c r="N179" s="223"/>
      <c r="O179" s="223"/>
      <c r="P179" s="220"/>
      <c r="Q179" s="220"/>
      <c r="R179" s="220"/>
      <c r="S179" s="220"/>
    </row>
    <row r="180" spans="1:19" s="92" customFormat="1" ht="102" outlineLevel="1">
      <c r="A180" s="206" t="s">
        <v>357</v>
      </c>
      <c r="B180" s="202" t="s">
        <v>37</v>
      </c>
      <c r="C180" s="203" t="s">
        <v>38</v>
      </c>
      <c r="D180" s="203" t="s">
        <v>882</v>
      </c>
      <c r="E180" s="203" t="s">
        <v>866</v>
      </c>
      <c r="F180" s="204" t="s">
        <v>303</v>
      </c>
      <c r="G180" s="203" t="s">
        <v>322</v>
      </c>
      <c r="H180" s="203" t="s">
        <v>875</v>
      </c>
      <c r="I180" s="203" t="s">
        <v>883</v>
      </c>
      <c r="J180" s="221" t="s">
        <v>869</v>
      </c>
      <c r="K180" s="222">
        <v>16</v>
      </c>
      <c r="L180" s="222">
        <v>35</v>
      </c>
      <c r="M180" s="223" t="s">
        <v>298</v>
      </c>
      <c r="N180" s="223"/>
      <c r="O180" s="223"/>
      <c r="P180" s="220"/>
      <c r="Q180" s="220"/>
      <c r="R180" s="220"/>
      <c r="S180" s="220"/>
    </row>
    <row r="181" spans="1:19" s="92" customFormat="1" ht="170" outlineLevel="1">
      <c r="A181" s="206" t="s">
        <v>357</v>
      </c>
      <c r="B181" s="202" t="s">
        <v>37</v>
      </c>
      <c r="C181" s="203" t="s">
        <v>38</v>
      </c>
      <c r="D181" s="203" t="s">
        <v>884</v>
      </c>
      <c r="E181" s="203" t="s">
        <v>866</v>
      </c>
      <c r="F181" s="204" t="s">
        <v>303</v>
      </c>
      <c r="G181" s="203" t="s">
        <v>322</v>
      </c>
      <c r="H181" s="203" t="s">
        <v>885</v>
      </c>
      <c r="I181" s="203" t="s">
        <v>334</v>
      </c>
      <c r="J181" s="221" t="s">
        <v>869</v>
      </c>
      <c r="K181" s="222">
        <v>16</v>
      </c>
      <c r="L181" s="222">
        <v>35</v>
      </c>
      <c r="M181" s="223" t="s">
        <v>298</v>
      </c>
      <c r="N181" s="223"/>
      <c r="O181" s="223"/>
      <c r="P181" s="220"/>
      <c r="Q181" s="220"/>
      <c r="R181" s="220"/>
      <c r="S181" s="220"/>
    </row>
    <row r="182" spans="1:19" s="92" customFormat="1" ht="68" outlineLevel="1">
      <c r="A182" s="206" t="s">
        <v>357</v>
      </c>
      <c r="B182" s="202" t="s">
        <v>37</v>
      </c>
      <c r="C182" s="203" t="s">
        <v>38</v>
      </c>
      <c r="D182" s="203" t="s">
        <v>886</v>
      </c>
      <c r="E182" s="203" t="s">
        <v>866</v>
      </c>
      <c r="F182" s="204" t="s">
        <v>303</v>
      </c>
      <c r="G182" s="203" t="s">
        <v>322</v>
      </c>
      <c r="H182" s="203" t="s">
        <v>887</v>
      </c>
      <c r="I182" s="203" t="s">
        <v>888</v>
      </c>
      <c r="J182" s="221" t="s">
        <v>869</v>
      </c>
      <c r="K182" s="222">
        <v>8</v>
      </c>
      <c r="L182" s="222">
        <v>35</v>
      </c>
      <c r="M182" s="223" t="s">
        <v>298</v>
      </c>
      <c r="N182" s="223"/>
      <c r="O182" s="223"/>
      <c r="P182" s="220"/>
      <c r="Q182" s="220"/>
      <c r="R182" s="220"/>
      <c r="S182" s="220"/>
    </row>
    <row r="183" spans="1:19" s="92" customFormat="1" ht="68" outlineLevel="1">
      <c r="A183" s="206" t="s">
        <v>357</v>
      </c>
      <c r="B183" s="202" t="s">
        <v>37</v>
      </c>
      <c r="C183" s="203" t="s">
        <v>38</v>
      </c>
      <c r="D183" s="203" t="s">
        <v>889</v>
      </c>
      <c r="E183" s="203" t="s">
        <v>866</v>
      </c>
      <c r="F183" s="204" t="s">
        <v>303</v>
      </c>
      <c r="G183" s="203" t="s">
        <v>322</v>
      </c>
      <c r="H183" s="203" t="s">
        <v>890</v>
      </c>
      <c r="I183" s="203" t="s">
        <v>891</v>
      </c>
      <c r="J183" s="221" t="s">
        <v>869</v>
      </c>
      <c r="K183" s="222">
        <v>1</v>
      </c>
      <c r="L183" s="222">
        <v>35</v>
      </c>
      <c r="M183" s="223" t="s">
        <v>298</v>
      </c>
      <c r="N183" s="223"/>
      <c r="O183" s="223"/>
      <c r="P183" s="220"/>
      <c r="Q183" s="220"/>
      <c r="R183" s="220"/>
      <c r="S183" s="220"/>
    </row>
    <row r="184" spans="1:19" s="92" customFormat="1" ht="68" outlineLevel="1">
      <c r="A184" s="206" t="s">
        <v>357</v>
      </c>
      <c r="B184" s="202" t="s">
        <v>37</v>
      </c>
      <c r="C184" s="203" t="s">
        <v>38</v>
      </c>
      <c r="D184" s="203" t="s">
        <v>892</v>
      </c>
      <c r="E184" s="203" t="s">
        <v>866</v>
      </c>
      <c r="F184" s="204" t="s">
        <v>303</v>
      </c>
      <c r="G184" s="203" t="s">
        <v>322</v>
      </c>
      <c r="H184" s="203" t="s">
        <v>893</v>
      </c>
      <c r="I184" s="203" t="s">
        <v>894</v>
      </c>
      <c r="J184" s="221" t="s">
        <v>869</v>
      </c>
      <c r="K184" s="222">
        <v>1</v>
      </c>
      <c r="L184" s="222">
        <v>35</v>
      </c>
      <c r="M184" s="223" t="s">
        <v>298</v>
      </c>
      <c r="N184" s="223"/>
      <c r="O184" s="223"/>
      <c r="P184" s="220"/>
      <c r="Q184" s="220"/>
      <c r="R184" s="220"/>
      <c r="S184" s="220"/>
    </row>
    <row r="185" spans="1:19" s="92" customFormat="1" ht="85" outlineLevel="1">
      <c r="A185" s="206" t="s">
        <v>357</v>
      </c>
      <c r="B185" s="202" t="s">
        <v>37</v>
      </c>
      <c r="C185" s="203" t="s">
        <v>38</v>
      </c>
      <c r="D185" s="203" t="s">
        <v>895</v>
      </c>
      <c r="E185" s="203" t="s">
        <v>866</v>
      </c>
      <c r="F185" s="204" t="s">
        <v>303</v>
      </c>
      <c r="G185" s="203" t="s">
        <v>322</v>
      </c>
      <c r="H185" s="203" t="s">
        <v>896</v>
      </c>
      <c r="I185" s="203" t="s">
        <v>897</v>
      </c>
      <c r="J185" s="221" t="s">
        <v>869</v>
      </c>
      <c r="K185" s="222">
        <v>80</v>
      </c>
      <c r="L185" s="222">
        <v>35</v>
      </c>
      <c r="M185" s="223" t="s">
        <v>298</v>
      </c>
      <c r="N185" s="223"/>
      <c r="O185" s="223"/>
      <c r="P185" s="220"/>
      <c r="Q185" s="220"/>
      <c r="R185" s="220"/>
      <c r="S185" s="220"/>
    </row>
    <row r="186" spans="1:19" s="92" customFormat="1" ht="136" outlineLevel="1">
      <c r="A186" s="206" t="s">
        <v>357</v>
      </c>
      <c r="B186" s="202" t="s">
        <v>37</v>
      </c>
      <c r="C186" s="203" t="s">
        <v>38</v>
      </c>
      <c r="D186" s="203" t="s">
        <v>898</v>
      </c>
      <c r="E186" s="203" t="s">
        <v>866</v>
      </c>
      <c r="F186" s="204" t="s">
        <v>303</v>
      </c>
      <c r="G186" s="203" t="s">
        <v>322</v>
      </c>
      <c r="H186" s="203" t="s">
        <v>899</v>
      </c>
      <c r="I186" s="203" t="s">
        <v>900</v>
      </c>
      <c r="J186" s="221" t="s">
        <v>869</v>
      </c>
      <c r="K186" s="222">
        <v>4</v>
      </c>
      <c r="L186" s="222">
        <v>35</v>
      </c>
      <c r="M186" s="223" t="s">
        <v>298</v>
      </c>
      <c r="N186" s="223"/>
      <c r="O186" s="223"/>
      <c r="P186" s="220"/>
      <c r="Q186" s="220"/>
      <c r="R186" s="220"/>
      <c r="S186" s="220"/>
    </row>
    <row r="187" spans="1:19" s="92" customFormat="1" ht="255" outlineLevel="1">
      <c r="A187" s="206" t="s">
        <v>357</v>
      </c>
      <c r="B187" s="202" t="s">
        <v>37</v>
      </c>
      <c r="C187" s="203" t="s">
        <v>38</v>
      </c>
      <c r="D187" s="203" t="s">
        <v>901</v>
      </c>
      <c r="E187" s="203" t="s">
        <v>866</v>
      </c>
      <c r="F187" s="204" t="s">
        <v>303</v>
      </c>
      <c r="G187" s="203" t="s">
        <v>322</v>
      </c>
      <c r="H187" s="203" t="s">
        <v>902</v>
      </c>
      <c r="I187" s="203" t="s">
        <v>903</v>
      </c>
      <c r="J187" s="221" t="s">
        <v>869</v>
      </c>
      <c r="K187" s="222">
        <v>8</v>
      </c>
      <c r="L187" s="222">
        <v>4</v>
      </c>
      <c r="M187" s="223" t="s">
        <v>298</v>
      </c>
      <c r="N187" s="223"/>
      <c r="O187" s="223"/>
      <c r="P187" s="220"/>
      <c r="Q187" s="220"/>
      <c r="R187" s="220"/>
      <c r="S187" s="220"/>
    </row>
    <row r="188" spans="1:19" s="92" customFormat="1" ht="272" outlineLevel="1">
      <c r="A188" s="206" t="s">
        <v>357</v>
      </c>
      <c r="B188" s="202" t="s">
        <v>37</v>
      </c>
      <c r="C188" s="203" t="s">
        <v>38</v>
      </c>
      <c r="D188" s="203" t="s">
        <v>904</v>
      </c>
      <c r="E188" s="203" t="s">
        <v>866</v>
      </c>
      <c r="F188" s="204" t="s">
        <v>303</v>
      </c>
      <c r="G188" s="203" t="s">
        <v>322</v>
      </c>
      <c r="H188" s="203" t="s">
        <v>905</v>
      </c>
      <c r="I188" s="203" t="s">
        <v>906</v>
      </c>
      <c r="J188" s="221" t="s">
        <v>869</v>
      </c>
      <c r="K188" s="222">
        <v>8</v>
      </c>
      <c r="L188" s="222">
        <v>4</v>
      </c>
      <c r="M188" s="223" t="s">
        <v>298</v>
      </c>
      <c r="N188" s="223"/>
      <c r="O188" s="223"/>
      <c r="P188" s="220"/>
      <c r="Q188" s="220"/>
      <c r="R188" s="220"/>
      <c r="S188" s="220"/>
    </row>
    <row r="189" spans="1:19" s="93" customFormat="1" ht="35.25" customHeight="1">
      <c r="A189" s="226" t="s">
        <v>357</v>
      </c>
      <c r="B189" s="198" t="s">
        <v>46</v>
      </c>
      <c r="C189" s="199" t="s">
        <v>47</v>
      </c>
      <c r="D189" s="227" t="s">
        <v>313</v>
      </c>
      <c r="E189" s="199" t="s">
        <v>866</v>
      </c>
      <c r="F189" s="200" t="s">
        <v>303</v>
      </c>
      <c r="G189" s="199" t="s">
        <v>322</v>
      </c>
      <c r="H189" s="199" t="s">
        <v>907</v>
      </c>
      <c r="I189" s="199" t="s">
        <v>908</v>
      </c>
      <c r="J189" s="270" t="s">
        <v>869</v>
      </c>
      <c r="K189" s="271">
        <f>K190+K191+K192+K193+K194+K195+K196+K197+K198+K199+K200+K201+K202+K203+K204+K205+K206+K207+K208+K209</f>
        <v>355.4</v>
      </c>
      <c r="L189" s="271">
        <f>L190+L191+L192+L193+L194+L195+L196+L197+L198+L199+L200+L201+L202+L203+L204+L205+L206+L207+L208+L209</f>
        <v>12587</v>
      </c>
      <c r="M189" s="220" t="s">
        <v>298</v>
      </c>
      <c r="N189" s="220"/>
      <c r="O189" s="220"/>
      <c r="P189" s="220"/>
      <c r="Q189" s="220"/>
      <c r="R189" s="220"/>
      <c r="S189" s="220"/>
    </row>
    <row r="190" spans="1:19" s="92" customFormat="1" ht="68" outlineLevel="1">
      <c r="A190" s="226" t="s">
        <v>357</v>
      </c>
      <c r="B190" s="202" t="s">
        <v>46</v>
      </c>
      <c r="C190" s="203" t="s">
        <v>47</v>
      </c>
      <c r="D190" s="203" t="s">
        <v>909</v>
      </c>
      <c r="E190" s="228" t="s">
        <v>910</v>
      </c>
      <c r="F190" s="203" t="s">
        <v>303</v>
      </c>
      <c r="G190" s="203" t="s">
        <v>911</v>
      </c>
      <c r="H190" s="203" t="s">
        <v>912</v>
      </c>
      <c r="I190" s="203" t="s">
        <v>913</v>
      </c>
      <c r="J190" s="221" t="s">
        <v>869</v>
      </c>
      <c r="K190" s="272">
        <v>1</v>
      </c>
      <c r="L190" s="272">
        <f>7*12</f>
        <v>84</v>
      </c>
      <c r="M190" s="223" t="s">
        <v>298</v>
      </c>
      <c r="N190" s="223"/>
      <c r="O190" s="223"/>
      <c r="P190" s="220"/>
      <c r="Q190" s="220"/>
      <c r="R190" s="220"/>
      <c r="S190" s="220"/>
    </row>
    <row r="191" spans="1:19" s="92" customFormat="1" ht="85" outlineLevel="1">
      <c r="A191" s="226" t="s">
        <v>357</v>
      </c>
      <c r="B191" s="202" t="s">
        <v>46</v>
      </c>
      <c r="C191" s="203" t="s">
        <v>47</v>
      </c>
      <c r="D191" s="203" t="s">
        <v>914</v>
      </c>
      <c r="E191" s="228" t="s">
        <v>910</v>
      </c>
      <c r="F191" s="203" t="s">
        <v>303</v>
      </c>
      <c r="G191" s="203" t="s">
        <v>915</v>
      </c>
      <c r="H191" s="203" t="s">
        <v>916</v>
      </c>
      <c r="I191" s="203" t="s">
        <v>917</v>
      </c>
      <c r="J191" s="221" t="s">
        <v>869</v>
      </c>
      <c r="K191" s="272">
        <v>120</v>
      </c>
      <c r="L191" s="272">
        <v>4</v>
      </c>
      <c r="M191" s="223" t="s">
        <v>298</v>
      </c>
      <c r="N191" s="223"/>
      <c r="O191" s="223"/>
      <c r="P191" s="220"/>
      <c r="Q191" s="220"/>
      <c r="R191" s="220"/>
      <c r="S191" s="220"/>
    </row>
    <row r="192" spans="1:19" s="92" customFormat="1" ht="68" outlineLevel="1">
      <c r="A192" s="226" t="s">
        <v>357</v>
      </c>
      <c r="B192" s="202" t="s">
        <v>46</v>
      </c>
      <c r="C192" s="203" t="s">
        <v>56</v>
      </c>
      <c r="D192" s="203" t="s">
        <v>918</v>
      </c>
      <c r="E192" s="228" t="s">
        <v>910</v>
      </c>
      <c r="F192" s="203" t="s">
        <v>303</v>
      </c>
      <c r="G192" s="203" t="s">
        <v>335</v>
      </c>
      <c r="H192" s="203" t="s">
        <v>919</v>
      </c>
      <c r="I192" s="203" t="s">
        <v>920</v>
      </c>
      <c r="J192" s="221" t="s">
        <v>869</v>
      </c>
      <c r="K192" s="272">
        <v>4</v>
      </c>
      <c r="L192" s="272">
        <v>24</v>
      </c>
      <c r="M192" s="223" t="s">
        <v>298</v>
      </c>
      <c r="N192" s="223"/>
      <c r="O192" s="223"/>
      <c r="P192" s="220"/>
      <c r="Q192" s="220"/>
      <c r="R192" s="220"/>
      <c r="S192" s="220"/>
    </row>
    <row r="193" spans="1:131" s="94" customFormat="1" ht="68" outlineLevel="1">
      <c r="A193" s="198" t="s">
        <v>357</v>
      </c>
      <c r="B193" s="202" t="s">
        <v>46</v>
      </c>
      <c r="C193" s="203" t="s">
        <v>56</v>
      </c>
      <c r="D193" s="203" t="s">
        <v>921</v>
      </c>
      <c r="E193" s="228" t="s">
        <v>910</v>
      </c>
      <c r="F193" s="203" t="s">
        <v>303</v>
      </c>
      <c r="G193" s="203" t="s">
        <v>344</v>
      </c>
      <c r="H193" s="203" t="s">
        <v>919</v>
      </c>
      <c r="I193" s="203" t="s">
        <v>922</v>
      </c>
      <c r="J193" s="221" t="s">
        <v>869</v>
      </c>
      <c r="K193" s="272">
        <v>2</v>
      </c>
      <c r="L193" s="272">
        <v>12</v>
      </c>
      <c r="M193" s="223" t="s">
        <v>298</v>
      </c>
      <c r="N193" s="223"/>
      <c r="O193" s="223"/>
      <c r="P193" s="220"/>
      <c r="Q193" s="220"/>
      <c r="R193" s="220"/>
      <c r="S193" s="220"/>
      <c r="T193" s="92"/>
      <c r="U193" s="92"/>
      <c r="V193" s="92"/>
      <c r="W193" s="92"/>
      <c r="X193" s="92"/>
      <c r="Y193" s="92"/>
      <c r="Z193" s="92"/>
      <c r="AA193" s="92"/>
      <c r="AB193" s="92"/>
      <c r="AC193" s="92"/>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2"/>
      <c r="BL193" s="92"/>
      <c r="BM193" s="92"/>
      <c r="BN193" s="92"/>
      <c r="BO193" s="92"/>
      <c r="BP193" s="92"/>
      <c r="BQ193" s="92"/>
      <c r="BR193" s="92"/>
      <c r="BS193" s="92"/>
      <c r="BT193" s="92"/>
      <c r="BU193" s="92"/>
      <c r="BV193" s="92"/>
      <c r="BW193" s="92"/>
      <c r="BX193" s="92"/>
      <c r="BY193" s="92"/>
      <c r="BZ193" s="92"/>
      <c r="CA193" s="92"/>
      <c r="CB193" s="92"/>
      <c r="CC193" s="92"/>
      <c r="CD193" s="92"/>
      <c r="CE193" s="92"/>
      <c r="CF193" s="92"/>
      <c r="CG193" s="92"/>
      <c r="CH193" s="92"/>
      <c r="CI193" s="92"/>
      <c r="CJ193" s="92"/>
      <c r="CK193" s="92"/>
      <c r="CL193" s="92"/>
      <c r="CM193" s="92"/>
      <c r="CN193" s="92"/>
      <c r="CO193" s="92"/>
      <c r="CP193" s="92"/>
      <c r="CQ193" s="92"/>
      <c r="CR193" s="92"/>
      <c r="CS193" s="92"/>
      <c r="CT193" s="92"/>
      <c r="CU193" s="92"/>
      <c r="CV193" s="92"/>
      <c r="CW193" s="92"/>
      <c r="CX193" s="92"/>
      <c r="CY193" s="92"/>
      <c r="CZ193" s="92"/>
      <c r="DA193" s="92"/>
      <c r="DB193" s="92"/>
      <c r="DC193" s="92"/>
      <c r="DD193" s="92"/>
      <c r="DE193" s="92"/>
      <c r="DF193" s="92"/>
      <c r="DG193" s="92"/>
      <c r="DH193" s="92"/>
      <c r="DI193" s="92"/>
      <c r="DJ193" s="92"/>
      <c r="DK193" s="92"/>
      <c r="DL193" s="92"/>
      <c r="DM193" s="92"/>
      <c r="DN193" s="92"/>
      <c r="DO193" s="92"/>
      <c r="DP193" s="92"/>
      <c r="DQ193" s="92"/>
      <c r="DR193" s="92"/>
      <c r="DS193" s="92"/>
      <c r="DT193" s="92"/>
      <c r="DU193" s="92"/>
      <c r="DV193" s="92"/>
      <c r="DW193" s="92"/>
      <c r="DX193" s="92"/>
      <c r="DY193" s="92"/>
      <c r="DZ193" s="92"/>
      <c r="EA193" s="92"/>
    </row>
    <row r="194" spans="1:131" s="94" customFormat="1" ht="68" outlineLevel="1">
      <c r="A194" s="198" t="s">
        <v>357</v>
      </c>
      <c r="B194" s="202" t="s">
        <v>46</v>
      </c>
      <c r="C194" s="203" t="s">
        <v>62</v>
      </c>
      <c r="D194" s="203" t="s">
        <v>923</v>
      </c>
      <c r="E194" s="228" t="s">
        <v>910</v>
      </c>
      <c r="F194" s="203" t="s">
        <v>303</v>
      </c>
      <c r="G194" s="203" t="s">
        <v>924</v>
      </c>
      <c r="H194" s="203" t="s">
        <v>919</v>
      </c>
      <c r="I194" s="203" t="s">
        <v>925</v>
      </c>
      <c r="J194" s="221" t="s">
        <v>869</v>
      </c>
      <c r="K194" s="272">
        <v>1</v>
      </c>
      <c r="L194" s="272">
        <v>24</v>
      </c>
      <c r="M194" s="223" t="s">
        <v>298</v>
      </c>
      <c r="N194" s="223"/>
      <c r="O194" s="223"/>
      <c r="P194" s="220"/>
      <c r="Q194" s="220"/>
      <c r="R194" s="220"/>
      <c r="S194" s="220"/>
      <c r="T194" s="92"/>
      <c r="U194" s="92"/>
      <c r="V194" s="92"/>
      <c r="W194" s="92"/>
      <c r="X194" s="92"/>
      <c r="Y194" s="92"/>
      <c r="Z194" s="92"/>
      <c r="AA194" s="92"/>
      <c r="AB194" s="92"/>
      <c r="AC194" s="92"/>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2"/>
      <c r="BL194" s="92"/>
      <c r="BM194" s="92"/>
      <c r="BN194" s="92"/>
      <c r="BO194" s="92"/>
      <c r="BP194" s="92"/>
      <c r="BQ194" s="92"/>
      <c r="BR194" s="92"/>
      <c r="BS194" s="92"/>
      <c r="BT194" s="92"/>
      <c r="BU194" s="92"/>
      <c r="BV194" s="92"/>
      <c r="BW194" s="92"/>
      <c r="BX194" s="92"/>
      <c r="BY194" s="92"/>
      <c r="BZ194" s="92"/>
      <c r="CA194" s="92"/>
      <c r="CB194" s="92"/>
      <c r="CC194" s="92"/>
      <c r="CD194" s="92"/>
      <c r="CE194" s="92"/>
      <c r="CF194" s="92"/>
      <c r="CG194" s="92"/>
      <c r="CH194" s="92"/>
      <c r="CI194" s="92"/>
      <c r="CJ194" s="92"/>
      <c r="CK194" s="92"/>
      <c r="CL194" s="92"/>
      <c r="CM194" s="92"/>
      <c r="CN194" s="92"/>
      <c r="CO194" s="92"/>
      <c r="CP194" s="92"/>
      <c r="CQ194" s="92"/>
      <c r="CR194" s="92"/>
      <c r="CS194" s="92"/>
      <c r="CT194" s="92"/>
      <c r="CU194" s="92"/>
      <c r="CV194" s="92"/>
      <c r="CW194" s="92"/>
      <c r="CX194" s="92"/>
      <c r="CY194" s="92"/>
      <c r="CZ194" s="92"/>
      <c r="DA194" s="92"/>
      <c r="DB194" s="92"/>
      <c r="DC194" s="92"/>
      <c r="DD194" s="92"/>
      <c r="DE194" s="92"/>
      <c r="DF194" s="92"/>
      <c r="DG194" s="92"/>
      <c r="DH194" s="92"/>
      <c r="DI194" s="92"/>
      <c r="DJ194" s="92"/>
      <c r="DK194" s="92"/>
      <c r="DL194" s="92"/>
      <c r="DM194" s="92"/>
      <c r="DN194" s="92"/>
      <c r="DO194" s="92"/>
      <c r="DP194" s="92"/>
      <c r="DQ194" s="92"/>
      <c r="DR194" s="92"/>
      <c r="DS194" s="92"/>
      <c r="DT194" s="92"/>
      <c r="DU194" s="92"/>
      <c r="DV194" s="92"/>
      <c r="DW194" s="92"/>
      <c r="DX194" s="92"/>
      <c r="DY194" s="92"/>
      <c r="DZ194" s="92"/>
      <c r="EA194" s="92"/>
    </row>
    <row r="195" spans="1:131" s="94" customFormat="1" ht="68" outlineLevel="1">
      <c r="A195" s="198" t="s">
        <v>357</v>
      </c>
      <c r="B195" s="202" t="s">
        <v>46</v>
      </c>
      <c r="C195" s="203" t="s">
        <v>62</v>
      </c>
      <c r="D195" s="203" t="s">
        <v>926</v>
      </c>
      <c r="E195" s="228" t="s">
        <v>910</v>
      </c>
      <c r="F195" s="203" t="s">
        <v>303</v>
      </c>
      <c r="G195" s="203" t="s">
        <v>927</v>
      </c>
      <c r="H195" s="203" t="s">
        <v>919</v>
      </c>
      <c r="I195" s="203" t="s">
        <v>928</v>
      </c>
      <c r="J195" s="221" t="s">
        <v>869</v>
      </c>
      <c r="K195" s="272">
        <v>2</v>
      </c>
      <c r="L195" s="272">
        <v>12</v>
      </c>
      <c r="M195" s="223" t="s">
        <v>298</v>
      </c>
      <c r="N195" s="223"/>
      <c r="O195" s="223"/>
      <c r="P195" s="220"/>
      <c r="Q195" s="220"/>
      <c r="R195" s="220"/>
      <c r="S195" s="220"/>
      <c r="T195" s="92"/>
      <c r="U195" s="92"/>
      <c r="V195" s="92"/>
      <c r="W195" s="92"/>
      <c r="X195" s="92"/>
      <c r="Y195" s="92"/>
      <c r="Z195" s="92"/>
      <c r="AA195" s="92"/>
      <c r="AB195" s="92"/>
      <c r="AC195" s="92"/>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2"/>
      <c r="BL195" s="92"/>
      <c r="BM195" s="92"/>
      <c r="BN195" s="92"/>
      <c r="BO195" s="92"/>
      <c r="BP195" s="92"/>
      <c r="BQ195" s="92"/>
      <c r="BR195" s="92"/>
      <c r="BS195" s="92"/>
      <c r="BT195" s="92"/>
      <c r="BU195" s="92"/>
      <c r="BV195" s="92"/>
      <c r="BW195" s="92"/>
      <c r="BX195" s="92"/>
      <c r="BY195" s="92"/>
      <c r="BZ195" s="92"/>
      <c r="CA195" s="92"/>
      <c r="CB195" s="92"/>
      <c r="CC195" s="92"/>
      <c r="CD195" s="92"/>
      <c r="CE195" s="92"/>
      <c r="CF195" s="92"/>
      <c r="CG195" s="92"/>
      <c r="CH195" s="92"/>
      <c r="CI195" s="92"/>
      <c r="CJ195" s="92"/>
      <c r="CK195" s="92"/>
      <c r="CL195" s="92"/>
      <c r="CM195" s="92"/>
      <c r="CN195" s="92"/>
      <c r="CO195" s="92"/>
      <c r="CP195" s="92"/>
      <c r="CQ195" s="92"/>
      <c r="CR195" s="92"/>
      <c r="CS195" s="92"/>
      <c r="CT195" s="92"/>
      <c r="CU195" s="92"/>
      <c r="CV195" s="92"/>
      <c r="CW195" s="92"/>
      <c r="CX195" s="92"/>
      <c r="CY195" s="92"/>
      <c r="CZ195" s="92"/>
      <c r="DA195" s="92"/>
      <c r="DB195" s="92"/>
      <c r="DC195" s="92"/>
      <c r="DD195" s="92"/>
      <c r="DE195" s="92"/>
      <c r="DF195" s="92"/>
      <c r="DG195" s="92"/>
      <c r="DH195" s="92"/>
      <c r="DI195" s="92"/>
      <c r="DJ195" s="92"/>
      <c r="DK195" s="92"/>
      <c r="DL195" s="92"/>
      <c r="DM195" s="92"/>
      <c r="DN195" s="92"/>
      <c r="DO195" s="92"/>
      <c r="DP195" s="92"/>
      <c r="DQ195" s="92"/>
      <c r="DR195" s="92"/>
      <c r="DS195" s="92"/>
      <c r="DT195" s="92"/>
      <c r="DU195" s="92"/>
      <c r="DV195" s="92"/>
      <c r="DW195" s="92"/>
      <c r="DX195" s="92"/>
      <c r="DY195" s="92"/>
      <c r="DZ195" s="92"/>
      <c r="EA195" s="92"/>
    </row>
    <row r="196" spans="1:131" s="94" customFormat="1" ht="68" outlineLevel="1">
      <c r="A196" s="198" t="s">
        <v>357</v>
      </c>
      <c r="B196" s="202" t="s">
        <v>46</v>
      </c>
      <c r="C196" s="203" t="s">
        <v>56</v>
      </c>
      <c r="D196" s="203" t="s">
        <v>929</v>
      </c>
      <c r="E196" s="228" t="s">
        <v>910</v>
      </c>
      <c r="F196" s="203" t="s">
        <v>303</v>
      </c>
      <c r="G196" s="203" t="s">
        <v>930</v>
      </c>
      <c r="H196" s="203" t="s">
        <v>919</v>
      </c>
      <c r="I196" s="203" t="s">
        <v>931</v>
      </c>
      <c r="J196" s="221" t="s">
        <v>869</v>
      </c>
      <c r="K196" s="272">
        <v>2</v>
      </c>
      <c r="L196" s="272">
        <v>12</v>
      </c>
      <c r="M196" s="223" t="s">
        <v>298</v>
      </c>
      <c r="N196" s="223"/>
      <c r="O196" s="223"/>
      <c r="P196" s="220"/>
      <c r="Q196" s="220"/>
      <c r="R196" s="220"/>
      <c r="S196" s="220"/>
      <c r="T196" s="92"/>
      <c r="U196" s="92"/>
      <c r="V196" s="92"/>
      <c r="W196" s="92"/>
      <c r="X196" s="92"/>
      <c r="Y196" s="92"/>
      <c r="Z196" s="92"/>
      <c r="AA196" s="92"/>
      <c r="AB196" s="92"/>
      <c r="AC196" s="92"/>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2"/>
      <c r="BL196" s="92"/>
      <c r="BM196" s="92"/>
      <c r="BN196" s="92"/>
      <c r="BO196" s="92"/>
      <c r="BP196" s="92"/>
      <c r="BQ196" s="92"/>
      <c r="BR196" s="92"/>
      <c r="BS196" s="92"/>
      <c r="BT196" s="92"/>
      <c r="BU196" s="92"/>
      <c r="BV196" s="92"/>
      <c r="BW196" s="92"/>
      <c r="BX196" s="92"/>
      <c r="BY196" s="92"/>
      <c r="BZ196" s="92"/>
      <c r="CA196" s="92"/>
      <c r="CB196" s="92"/>
      <c r="CC196" s="92"/>
      <c r="CD196" s="92"/>
      <c r="CE196" s="92"/>
      <c r="CF196" s="92"/>
      <c r="CG196" s="92"/>
      <c r="CH196" s="92"/>
      <c r="CI196" s="92"/>
      <c r="CJ196" s="92"/>
      <c r="CK196" s="92"/>
      <c r="CL196" s="92"/>
      <c r="CM196" s="92"/>
      <c r="CN196" s="92"/>
      <c r="CO196" s="92"/>
      <c r="CP196" s="92"/>
      <c r="CQ196" s="92"/>
      <c r="CR196" s="92"/>
      <c r="CS196" s="92"/>
      <c r="CT196" s="92"/>
      <c r="CU196" s="92"/>
      <c r="CV196" s="92"/>
      <c r="CW196" s="92"/>
      <c r="CX196" s="92"/>
      <c r="CY196" s="92"/>
      <c r="CZ196" s="92"/>
      <c r="DA196" s="92"/>
      <c r="DB196" s="92"/>
      <c r="DC196" s="92"/>
      <c r="DD196" s="92"/>
      <c r="DE196" s="92"/>
      <c r="DF196" s="92"/>
      <c r="DG196" s="92"/>
      <c r="DH196" s="92"/>
      <c r="DI196" s="92"/>
      <c r="DJ196" s="92"/>
      <c r="DK196" s="92"/>
      <c r="DL196" s="92"/>
      <c r="DM196" s="92"/>
      <c r="DN196" s="92"/>
      <c r="DO196" s="92"/>
      <c r="DP196" s="92"/>
      <c r="DQ196" s="92"/>
      <c r="DR196" s="92"/>
      <c r="DS196" s="92"/>
      <c r="DT196" s="92"/>
      <c r="DU196" s="92"/>
      <c r="DV196" s="92"/>
      <c r="DW196" s="92"/>
      <c r="DX196" s="92"/>
      <c r="DY196" s="92"/>
      <c r="DZ196" s="92"/>
      <c r="EA196" s="92"/>
    </row>
    <row r="197" spans="1:131" s="94" customFormat="1" ht="68" outlineLevel="1">
      <c r="A197" s="198" t="s">
        <v>357</v>
      </c>
      <c r="B197" s="202" t="s">
        <v>46</v>
      </c>
      <c r="C197" s="203" t="s">
        <v>56</v>
      </c>
      <c r="D197" s="203" t="s">
        <v>932</v>
      </c>
      <c r="E197" s="228" t="s">
        <v>910</v>
      </c>
      <c r="F197" s="203" t="s">
        <v>303</v>
      </c>
      <c r="G197" s="203" t="s">
        <v>933</v>
      </c>
      <c r="H197" s="203" t="s">
        <v>919</v>
      </c>
      <c r="I197" s="203" t="s">
        <v>934</v>
      </c>
      <c r="J197" s="221" t="s">
        <v>869</v>
      </c>
      <c r="K197" s="272">
        <v>1</v>
      </c>
      <c r="L197" s="272">
        <f>12*10</f>
        <v>120</v>
      </c>
      <c r="M197" s="223" t="s">
        <v>298</v>
      </c>
      <c r="N197" s="223"/>
      <c r="O197" s="223"/>
      <c r="P197" s="220"/>
      <c r="Q197" s="220"/>
      <c r="R197" s="220"/>
      <c r="S197" s="220"/>
      <c r="T197" s="92"/>
      <c r="U197" s="92"/>
      <c r="V197" s="92"/>
      <c r="W197" s="92"/>
      <c r="X197" s="92"/>
      <c r="Y197" s="92"/>
      <c r="Z197" s="92"/>
      <c r="AA197" s="92"/>
      <c r="AB197" s="92"/>
      <c r="AC197" s="92"/>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2"/>
      <c r="BL197" s="92"/>
      <c r="BM197" s="92"/>
      <c r="BN197" s="92"/>
      <c r="BO197" s="92"/>
      <c r="BP197" s="92"/>
      <c r="BQ197" s="92"/>
      <c r="BR197" s="92"/>
      <c r="BS197" s="92"/>
      <c r="BT197" s="92"/>
      <c r="BU197" s="92"/>
      <c r="BV197" s="92"/>
      <c r="BW197" s="92"/>
      <c r="BX197" s="92"/>
      <c r="BY197" s="92"/>
      <c r="BZ197" s="92"/>
      <c r="CA197" s="92"/>
      <c r="CB197" s="92"/>
      <c r="CC197" s="92"/>
      <c r="CD197" s="92"/>
      <c r="CE197" s="92"/>
      <c r="CF197" s="92"/>
      <c r="CG197" s="92"/>
      <c r="CH197" s="92"/>
      <c r="CI197" s="92"/>
      <c r="CJ197" s="92"/>
      <c r="CK197" s="92"/>
      <c r="CL197" s="92"/>
      <c r="CM197" s="92"/>
      <c r="CN197" s="92"/>
      <c r="CO197" s="92"/>
      <c r="CP197" s="92"/>
      <c r="CQ197" s="92"/>
      <c r="CR197" s="92"/>
      <c r="CS197" s="92"/>
      <c r="CT197" s="92"/>
      <c r="CU197" s="92"/>
      <c r="CV197" s="92"/>
      <c r="CW197" s="92"/>
      <c r="CX197" s="92"/>
      <c r="CY197" s="92"/>
      <c r="CZ197" s="92"/>
      <c r="DA197" s="92"/>
      <c r="DB197" s="92"/>
      <c r="DC197" s="92"/>
      <c r="DD197" s="92"/>
      <c r="DE197" s="92"/>
      <c r="DF197" s="92"/>
      <c r="DG197" s="92"/>
      <c r="DH197" s="92"/>
      <c r="DI197" s="92"/>
      <c r="DJ197" s="92"/>
      <c r="DK197" s="92"/>
      <c r="DL197" s="92"/>
      <c r="DM197" s="92"/>
      <c r="DN197" s="92"/>
      <c r="DO197" s="92"/>
      <c r="DP197" s="92"/>
      <c r="DQ197" s="92"/>
      <c r="DR197" s="92"/>
      <c r="DS197" s="92"/>
      <c r="DT197" s="92"/>
      <c r="DU197" s="92"/>
      <c r="DV197" s="92"/>
      <c r="DW197" s="92"/>
      <c r="DX197" s="92"/>
      <c r="DY197" s="92"/>
      <c r="DZ197" s="92"/>
      <c r="EA197" s="92"/>
    </row>
    <row r="198" spans="1:131" s="94" customFormat="1" ht="68" outlineLevel="1">
      <c r="A198" s="198" t="s">
        <v>357</v>
      </c>
      <c r="B198" s="202" t="s">
        <v>46</v>
      </c>
      <c r="C198" s="203" t="s">
        <v>47</v>
      </c>
      <c r="D198" s="203" t="s">
        <v>935</v>
      </c>
      <c r="E198" s="228" t="s">
        <v>910</v>
      </c>
      <c r="F198" s="203" t="s">
        <v>303</v>
      </c>
      <c r="G198" s="203" t="s">
        <v>346</v>
      </c>
      <c r="H198" s="203" t="s">
        <v>936</v>
      </c>
      <c r="I198" s="203" t="s">
        <v>937</v>
      </c>
      <c r="J198" s="221" t="s">
        <v>869</v>
      </c>
      <c r="K198" s="272">
        <v>168</v>
      </c>
      <c r="L198" s="272">
        <v>1</v>
      </c>
      <c r="M198" s="223" t="s">
        <v>298</v>
      </c>
      <c r="N198" s="223"/>
      <c r="O198" s="223"/>
      <c r="P198" s="220"/>
      <c r="Q198" s="220"/>
      <c r="R198" s="220"/>
      <c r="S198" s="220"/>
      <c r="T198" s="92"/>
      <c r="U198" s="92"/>
      <c r="V198" s="92"/>
      <c r="W198" s="92"/>
      <c r="X198" s="92"/>
      <c r="Y198" s="92"/>
      <c r="Z198" s="92"/>
      <c r="AA198" s="92"/>
      <c r="AB198" s="92"/>
      <c r="AC198" s="92"/>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2"/>
      <c r="BL198" s="92"/>
      <c r="BM198" s="92"/>
      <c r="BN198" s="92"/>
      <c r="BO198" s="92"/>
      <c r="BP198" s="92"/>
      <c r="BQ198" s="92"/>
      <c r="BR198" s="92"/>
      <c r="BS198" s="92"/>
      <c r="BT198" s="92"/>
      <c r="BU198" s="92"/>
      <c r="BV198" s="92"/>
      <c r="BW198" s="92"/>
      <c r="BX198" s="92"/>
      <c r="BY198" s="92"/>
      <c r="BZ198" s="92"/>
      <c r="CA198" s="92"/>
      <c r="CB198" s="92"/>
      <c r="CC198" s="92"/>
      <c r="CD198" s="92"/>
      <c r="CE198" s="92"/>
      <c r="CF198" s="92"/>
      <c r="CG198" s="92"/>
      <c r="CH198" s="92"/>
      <c r="CI198" s="92"/>
      <c r="CJ198" s="92"/>
      <c r="CK198" s="92"/>
      <c r="CL198" s="92"/>
      <c r="CM198" s="92"/>
      <c r="CN198" s="92"/>
      <c r="CO198" s="92"/>
      <c r="CP198" s="92"/>
      <c r="CQ198" s="92"/>
      <c r="CR198" s="92"/>
      <c r="CS198" s="92"/>
      <c r="CT198" s="92"/>
      <c r="CU198" s="92"/>
      <c r="CV198" s="92"/>
      <c r="CW198" s="92"/>
      <c r="CX198" s="92"/>
      <c r="CY198" s="92"/>
      <c r="CZ198" s="92"/>
      <c r="DA198" s="92"/>
      <c r="DB198" s="92"/>
      <c r="DC198" s="92"/>
      <c r="DD198" s="92"/>
      <c r="DE198" s="92"/>
      <c r="DF198" s="92"/>
      <c r="DG198" s="92"/>
      <c r="DH198" s="92"/>
      <c r="DI198" s="92"/>
      <c r="DJ198" s="92"/>
      <c r="DK198" s="92"/>
      <c r="DL198" s="92"/>
      <c r="DM198" s="92"/>
      <c r="DN198" s="92"/>
      <c r="DO198" s="92"/>
      <c r="DP198" s="92"/>
      <c r="DQ198" s="92"/>
      <c r="DR198" s="92"/>
      <c r="DS198" s="92"/>
      <c r="DT198" s="92"/>
      <c r="DU198" s="92"/>
      <c r="DV198" s="92"/>
      <c r="DW198" s="92"/>
      <c r="DX198" s="92"/>
      <c r="DY198" s="92"/>
      <c r="DZ198" s="92"/>
      <c r="EA198" s="92"/>
    </row>
    <row r="199" spans="1:131" s="94" customFormat="1" ht="68" outlineLevel="1">
      <c r="A199" s="198" t="s">
        <v>357</v>
      </c>
      <c r="B199" s="202" t="s">
        <v>46</v>
      </c>
      <c r="C199" s="203" t="s">
        <v>50</v>
      </c>
      <c r="D199" s="203" t="s">
        <v>938</v>
      </c>
      <c r="E199" s="228" t="s">
        <v>910</v>
      </c>
      <c r="F199" s="203" t="s">
        <v>303</v>
      </c>
      <c r="G199" s="203" t="s">
        <v>939</v>
      </c>
      <c r="H199" s="203" t="s">
        <v>919</v>
      </c>
      <c r="I199" s="203" t="s">
        <v>940</v>
      </c>
      <c r="J199" s="221" t="s">
        <v>869</v>
      </c>
      <c r="K199" s="272">
        <v>40</v>
      </c>
      <c r="L199" s="272">
        <v>1</v>
      </c>
      <c r="M199" s="223" t="s">
        <v>298</v>
      </c>
      <c r="N199" s="223"/>
      <c r="O199" s="223"/>
      <c r="P199" s="220"/>
      <c r="Q199" s="220"/>
      <c r="R199" s="220"/>
      <c r="S199" s="220"/>
      <c r="T199" s="92"/>
      <c r="U199" s="92"/>
      <c r="V199" s="92"/>
      <c r="W199" s="92"/>
      <c r="X199" s="92"/>
      <c r="Y199" s="92"/>
      <c r="Z199" s="92"/>
      <c r="AA199" s="92"/>
      <c r="AB199" s="92"/>
      <c r="AC199" s="92"/>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2"/>
      <c r="BL199" s="92"/>
      <c r="BM199" s="92"/>
      <c r="BN199" s="92"/>
      <c r="BO199" s="92"/>
      <c r="BP199" s="92"/>
      <c r="BQ199" s="92"/>
      <c r="BR199" s="92"/>
      <c r="BS199" s="92"/>
      <c r="BT199" s="92"/>
      <c r="BU199" s="92"/>
      <c r="BV199" s="92"/>
      <c r="BW199" s="92"/>
      <c r="BX199" s="92"/>
      <c r="BY199" s="92"/>
      <c r="BZ199" s="92"/>
      <c r="CA199" s="92"/>
      <c r="CB199" s="92"/>
      <c r="CC199" s="92"/>
      <c r="CD199" s="92"/>
      <c r="CE199" s="92"/>
      <c r="CF199" s="92"/>
      <c r="CG199" s="92"/>
      <c r="CH199" s="92"/>
      <c r="CI199" s="92"/>
      <c r="CJ199" s="92"/>
      <c r="CK199" s="92"/>
      <c r="CL199" s="92"/>
      <c r="CM199" s="92"/>
      <c r="CN199" s="92"/>
      <c r="CO199" s="92"/>
      <c r="CP199" s="92"/>
      <c r="CQ199" s="92"/>
      <c r="CR199" s="92"/>
      <c r="CS199" s="92"/>
      <c r="CT199" s="92"/>
      <c r="CU199" s="92"/>
      <c r="CV199" s="92"/>
      <c r="CW199" s="92"/>
      <c r="CX199" s="92"/>
      <c r="CY199" s="92"/>
      <c r="CZ199" s="92"/>
      <c r="DA199" s="92"/>
      <c r="DB199" s="92"/>
      <c r="DC199" s="92"/>
      <c r="DD199" s="92"/>
      <c r="DE199" s="92"/>
      <c r="DF199" s="92"/>
      <c r="DG199" s="92"/>
      <c r="DH199" s="92"/>
      <c r="DI199" s="92"/>
      <c r="DJ199" s="92"/>
      <c r="DK199" s="92"/>
      <c r="DL199" s="92"/>
      <c r="DM199" s="92"/>
      <c r="DN199" s="92"/>
      <c r="DO199" s="92"/>
      <c r="DP199" s="92"/>
      <c r="DQ199" s="92"/>
      <c r="DR199" s="92"/>
      <c r="DS199" s="92"/>
      <c r="DT199" s="92"/>
      <c r="DU199" s="92"/>
      <c r="DV199" s="92"/>
      <c r="DW199" s="92"/>
      <c r="DX199" s="92"/>
      <c r="DY199" s="92"/>
      <c r="DZ199" s="92"/>
      <c r="EA199" s="92"/>
    </row>
    <row r="200" spans="1:131" s="94" customFormat="1" ht="68" outlineLevel="1">
      <c r="A200" s="198" t="s">
        <v>357</v>
      </c>
      <c r="B200" s="202" t="s">
        <v>46</v>
      </c>
      <c r="C200" s="203" t="s">
        <v>59</v>
      </c>
      <c r="D200" s="203" t="s">
        <v>941</v>
      </c>
      <c r="E200" s="228" t="s">
        <v>910</v>
      </c>
      <c r="F200" s="203" t="s">
        <v>303</v>
      </c>
      <c r="G200" s="203" t="s">
        <v>942</v>
      </c>
      <c r="H200" s="203" t="s">
        <v>943</v>
      </c>
      <c r="I200" s="203" t="s">
        <v>944</v>
      </c>
      <c r="J200" s="221" t="s">
        <v>869</v>
      </c>
      <c r="K200" s="272">
        <v>0.5</v>
      </c>
      <c r="L200" s="272">
        <v>2880</v>
      </c>
      <c r="M200" s="223" t="s">
        <v>298</v>
      </c>
      <c r="N200" s="223"/>
      <c r="O200" s="223"/>
      <c r="P200" s="220"/>
      <c r="Q200" s="220"/>
      <c r="R200" s="220"/>
      <c r="S200" s="220"/>
      <c r="T200" s="92"/>
      <c r="U200" s="92"/>
      <c r="V200" s="92"/>
      <c r="W200" s="92"/>
      <c r="X200" s="92"/>
      <c r="Y200" s="92"/>
      <c r="Z200" s="92"/>
      <c r="AA200" s="92"/>
      <c r="AB200" s="92"/>
      <c r="AC200" s="92"/>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2"/>
      <c r="BL200" s="92"/>
      <c r="BM200" s="92"/>
      <c r="BN200" s="92"/>
      <c r="BO200" s="92"/>
      <c r="BP200" s="92"/>
      <c r="BQ200" s="92"/>
      <c r="BR200" s="92"/>
      <c r="BS200" s="92"/>
      <c r="BT200" s="92"/>
      <c r="BU200" s="92"/>
      <c r="BV200" s="92"/>
      <c r="BW200" s="92"/>
      <c r="BX200" s="92"/>
      <c r="BY200" s="92"/>
      <c r="BZ200" s="92"/>
      <c r="CA200" s="92"/>
      <c r="CB200" s="92"/>
      <c r="CC200" s="92"/>
      <c r="CD200" s="92"/>
      <c r="CE200" s="92"/>
      <c r="CF200" s="92"/>
      <c r="CG200" s="92"/>
      <c r="CH200" s="92"/>
      <c r="CI200" s="92"/>
      <c r="CJ200" s="92"/>
      <c r="CK200" s="92"/>
      <c r="CL200" s="92"/>
      <c r="CM200" s="92"/>
      <c r="CN200" s="92"/>
      <c r="CO200" s="92"/>
      <c r="CP200" s="92"/>
      <c r="CQ200" s="92"/>
      <c r="CR200" s="92"/>
      <c r="CS200" s="92"/>
      <c r="CT200" s="92"/>
      <c r="CU200" s="92"/>
      <c r="CV200" s="92"/>
      <c r="CW200" s="92"/>
      <c r="CX200" s="92"/>
      <c r="CY200" s="92"/>
      <c r="CZ200" s="92"/>
      <c r="DA200" s="92"/>
      <c r="DB200" s="92"/>
      <c r="DC200" s="92"/>
      <c r="DD200" s="92"/>
      <c r="DE200" s="92"/>
      <c r="DF200" s="92"/>
      <c r="DG200" s="92"/>
      <c r="DH200" s="92"/>
      <c r="DI200" s="92"/>
      <c r="DJ200" s="92"/>
      <c r="DK200" s="92"/>
      <c r="DL200" s="92"/>
      <c r="DM200" s="92"/>
      <c r="DN200" s="92"/>
      <c r="DO200" s="92"/>
      <c r="DP200" s="92"/>
      <c r="DQ200" s="92"/>
      <c r="DR200" s="92"/>
      <c r="DS200" s="92"/>
      <c r="DT200" s="92"/>
      <c r="DU200" s="92"/>
      <c r="DV200" s="92"/>
      <c r="DW200" s="92"/>
      <c r="DX200" s="92"/>
      <c r="DY200" s="92"/>
      <c r="DZ200" s="92"/>
      <c r="EA200" s="92"/>
    </row>
    <row r="201" spans="1:131" s="94" customFormat="1" ht="68" outlineLevel="1">
      <c r="A201" s="198" t="s">
        <v>357</v>
      </c>
      <c r="B201" s="202" t="s">
        <v>46</v>
      </c>
      <c r="C201" s="203" t="s">
        <v>59</v>
      </c>
      <c r="D201" s="203" t="s">
        <v>945</v>
      </c>
      <c r="E201" s="228" t="s">
        <v>910</v>
      </c>
      <c r="F201" s="203" t="s">
        <v>303</v>
      </c>
      <c r="G201" s="203" t="s">
        <v>946</v>
      </c>
      <c r="H201" s="203" t="s">
        <v>947</v>
      </c>
      <c r="I201" s="203" t="s">
        <v>948</v>
      </c>
      <c r="J201" s="221" t="s">
        <v>869</v>
      </c>
      <c r="K201" s="272">
        <v>0.5</v>
      </c>
      <c r="L201" s="272">
        <v>180</v>
      </c>
      <c r="M201" s="223" t="s">
        <v>298</v>
      </c>
      <c r="N201" s="223"/>
      <c r="O201" s="223"/>
      <c r="P201" s="220"/>
      <c r="Q201" s="220"/>
      <c r="R201" s="220"/>
      <c r="S201" s="220"/>
      <c r="T201" s="92"/>
      <c r="U201" s="92"/>
      <c r="V201" s="92"/>
      <c r="W201" s="92"/>
      <c r="X201" s="92"/>
      <c r="Y201" s="92"/>
      <c r="Z201" s="92"/>
      <c r="AA201" s="92"/>
      <c r="AB201" s="92"/>
      <c r="AC201" s="92"/>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2"/>
      <c r="BL201" s="92"/>
      <c r="BM201" s="92"/>
      <c r="BN201" s="92"/>
      <c r="BO201" s="92"/>
      <c r="BP201" s="92"/>
      <c r="BQ201" s="92"/>
      <c r="BR201" s="92"/>
      <c r="BS201" s="92"/>
      <c r="BT201" s="92"/>
      <c r="BU201" s="92"/>
      <c r="BV201" s="92"/>
      <c r="BW201" s="92"/>
      <c r="BX201" s="92"/>
      <c r="BY201" s="92"/>
      <c r="BZ201" s="92"/>
      <c r="CA201" s="92"/>
      <c r="CB201" s="92"/>
      <c r="CC201" s="92"/>
      <c r="CD201" s="92"/>
      <c r="CE201" s="92"/>
      <c r="CF201" s="92"/>
      <c r="CG201" s="92"/>
      <c r="CH201" s="92"/>
      <c r="CI201" s="92"/>
      <c r="CJ201" s="92"/>
      <c r="CK201" s="92"/>
      <c r="CL201" s="92"/>
      <c r="CM201" s="92"/>
      <c r="CN201" s="92"/>
      <c r="CO201" s="92"/>
      <c r="CP201" s="92"/>
      <c r="CQ201" s="92"/>
      <c r="CR201" s="92"/>
      <c r="CS201" s="92"/>
      <c r="CT201" s="92"/>
      <c r="CU201" s="92"/>
      <c r="CV201" s="92"/>
      <c r="CW201" s="92"/>
      <c r="CX201" s="92"/>
      <c r="CY201" s="92"/>
      <c r="CZ201" s="92"/>
      <c r="DA201" s="92"/>
      <c r="DB201" s="92"/>
      <c r="DC201" s="92"/>
      <c r="DD201" s="92"/>
      <c r="DE201" s="92"/>
      <c r="DF201" s="92"/>
      <c r="DG201" s="92"/>
      <c r="DH201" s="92"/>
      <c r="DI201" s="92"/>
      <c r="DJ201" s="92"/>
      <c r="DK201" s="92"/>
      <c r="DL201" s="92"/>
      <c r="DM201" s="92"/>
      <c r="DN201" s="92"/>
      <c r="DO201" s="92"/>
      <c r="DP201" s="92"/>
      <c r="DQ201" s="92"/>
      <c r="DR201" s="92"/>
      <c r="DS201" s="92"/>
      <c r="DT201" s="92"/>
      <c r="DU201" s="92"/>
      <c r="DV201" s="92"/>
      <c r="DW201" s="92"/>
      <c r="DX201" s="92"/>
      <c r="DY201" s="92"/>
      <c r="DZ201" s="92"/>
      <c r="EA201" s="92"/>
    </row>
    <row r="202" spans="1:131" s="94" customFormat="1" ht="68" outlineLevel="1">
      <c r="A202" s="198" t="s">
        <v>357</v>
      </c>
      <c r="B202" s="202" t="s">
        <v>46</v>
      </c>
      <c r="C202" s="203" t="s">
        <v>59</v>
      </c>
      <c r="D202" s="203" t="s">
        <v>949</v>
      </c>
      <c r="E202" s="228" t="s">
        <v>910</v>
      </c>
      <c r="F202" s="203" t="s">
        <v>303</v>
      </c>
      <c r="G202" s="203" t="s">
        <v>946</v>
      </c>
      <c r="H202" s="203" t="s">
        <v>950</v>
      </c>
      <c r="I202" s="203" t="s">
        <v>951</v>
      </c>
      <c r="J202" s="221" t="s">
        <v>869</v>
      </c>
      <c r="K202" s="272">
        <v>0.5</v>
      </c>
      <c r="L202" s="272">
        <v>8640</v>
      </c>
      <c r="M202" s="223" t="s">
        <v>298</v>
      </c>
      <c r="N202" s="223"/>
      <c r="O202" s="223"/>
      <c r="P202" s="220"/>
      <c r="Q202" s="220"/>
      <c r="R202" s="220"/>
      <c r="S202" s="220"/>
      <c r="T202" s="92"/>
      <c r="U202" s="92"/>
      <c r="V202" s="92"/>
      <c r="W202" s="92"/>
      <c r="X202" s="92"/>
      <c r="Y202" s="92"/>
      <c r="Z202" s="92"/>
      <c r="AA202" s="92"/>
      <c r="AB202" s="92"/>
      <c r="AC202" s="92"/>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2"/>
      <c r="BL202" s="92"/>
      <c r="BM202" s="92"/>
      <c r="BN202" s="92"/>
      <c r="BO202" s="92"/>
      <c r="BP202" s="92"/>
      <c r="BQ202" s="92"/>
      <c r="BR202" s="92"/>
      <c r="BS202" s="92"/>
      <c r="BT202" s="92"/>
      <c r="BU202" s="92"/>
      <c r="BV202" s="92"/>
      <c r="BW202" s="92"/>
      <c r="BX202" s="92"/>
      <c r="BY202" s="92"/>
      <c r="BZ202" s="92"/>
      <c r="CA202" s="92"/>
      <c r="CB202" s="92"/>
      <c r="CC202" s="92"/>
      <c r="CD202" s="92"/>
      <c r="CE202" s="92"/>
      <c r="CF202" s="92"/>
      <c r="CG202" s="92"/>
      <c r="CH202" s="92"/>
      <c r="CI202" s="92"/>
      <c r="CJ202" s="92"/>
      <c r="CK202" s="92"/>
      <c r="CL202" s="92"/>
      <c r="CM202" s="92"/>
      <c r="CN202" s="92"/>
      <c r="CO202" s="92"/>
      <c r="CP202" s="92"/>
      <c r="CQ202" s="92"/>
      <c r="CR202" s="92"/>
      <c r="CS202" s="92"/>
      <c r="CT202" s="92"/>
      <c r="CU202" s="92"/>
      <c r="CV202" s="92"/>
      <c r="CW202" s="92"/>
      <c r="CX202" s="92"/>
      <c r="CY202" s="92"/>
      <c r="CZ202" s="92"/>
      <c r="DA202" s="92"/>
      <c r="DB202" s="92"/>
      <c r="DC202" s="92"/>
      <c r="DD202" s="92"/>
      <c r="DE202" s="92"/>
      <c r="DF202" s="92"/>
      <c r="DG202" s="92"/>
      <c r="DH202" s="92"/>
      <c r="DI202" s="92"/>
      <c r="DJ202" s="92"/>
      <c r="DK202" s="92"/>
      <c r="DL202" s="92"/>
      <c r="DM202" s="92"/>
      <c r="DN202" s="92"/>
      <c r="DO202" s="92"/>
      <c r="DP202" s="92"/>
      <c r="DQ202" s="92"/>
      <c r="DR202" s="92"/>
      <c r="DS202" s="92"/>
      <c r="DT202" s="92"/>
      <c r="DU202" s="92"/>
      <c r="DV202" s="92"/>
      <c r="DW202" s="92"/>
      <c r="DX202" s="92"/>
      <c r="DY202" s="92"/>
      <c r="DZ202" s="92"/>
      <c r="EA202" s="92"/>
    </row>
    <row r="203" spans="1:131" s="94" customFormat="1" ht="68" outlineLevel="1">
      <c r="A203" s="198" t="s">
        <v>357</v>
      </c>
      <c r="B203" s="202" t="s">
        <v>46</v>
      </c>
      <c r="C203" s="203" t="s">
        <v>50</v>
      </c>
      <c r="D203" s="203" t="s">
        <v>952</v>
      </c>
      <c r="E203" s="228" t="s">
        <v>910</v>
      </c>
      <c r="F203" s="203" t="s">
        <v>303</v>
      </c>
      <c r="G203" s="203" t="s">
        <v>953</v>
      </c>
      <c r="H203" s="203" t="s">
        <v>947</v>
      </c>
      <c r="I203" s="203" t="s">
        <v>954</v>
      </c>
      <c r="J203" s="221" t="s">
        <v>869</v>
      </c>
      <c r="K203" s="272">
        <v>0.7</v>
      </c>
      <c r="L203" s="272">
        <v>144</v>
      </c>
      <c r="M203" s="223" t="s">
        <v>298</v>
      </c>
      <c r="N203" s="223"/>
      <c r="O203" s="223"/>
      <c r="P203" s="220"/>
      <c r="Q203" s="220"/>
      <c r="R203" s="220"/>
      <c r="S203" s="220"/>
      <c r="T203" s="92"/>
      <c r="U203" s="92"/>
      <c r="V203" s="92"/>
      <c r="W203" s="92"/>
      <c r="X203" s="92"/>
      <c r="Y203" s="92"/>
      <c r="Z203" s="92"/>
      <c r="AA203" s="92"/>
      <c r="AB203" s="92"/>
      <c r="AC203" s="92"/>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2"/>
      <c r="BL203" s="92"/>
      <c r="BM203" s="92"/>
      <c r="BN203" s="92"/>
      <c r="BO203" s="92"/>
      <c r="BP203" s="92"/>
      <c r="BQ203" s="92"/>
      <c r="BR203" s="92"/>
      <c r="BS203" s="92"/>
      <c r="BT203" s="92"/>
      <c r="BU203" s="92"/>
      <c r="BV203" s="92"/>
      <c r="BW203" s="92"/>
      <c r="BX203" s="92"/>
      <c r="BY203" s="92"/>
      <c r="BZ203" s="92"/>
      <c r="CA203" s="92"/>
      <c r="CB203" s="92"/>
      <c r="CC203" s="92"/>
      <c r="CD203" s="92"/>
      <c r="CE203" s="92"/>
      <c r="CF203" s="92"/>
      <c r="CG203" s="92"/>
      <c r="CH203" s="92"/>
      <c r="CI203" s="92"/>
      <c r="CJ203" s="92"/>
      <c r="CK203" s="92"/>
      <c r="CL203" s="92"/>
      <c r="CM203" s="92"/>
      <c r="CN203" s="92"/>
      <c r="CO203" s="92"/>
      <c r="CP203" s="92"/>
      <c r="CQ203" s="92"/>
      <c r="CR203" s="92"/>
      <c r="CS203" s="92"/>
      <c r="CT203" s="92"/>
      <c r="CU203" s="92"/>
      <c r="CV203" s="92"/>
      <c r="CW203" s="92"/>
      <c r="CX203" s="92"/>
      <c r="CY203" s="92"/>
      <c r="CZ203" s="92"/>
      <c r="DA203" s="92"/>
      <c r="DB203" s="92"/>
      <c r="DC203" s="92"/>
      <c r="DD203" s="92"/>
      <c r="DE203" s="92"/>
      <c r="DF203" s="92"/>
      <c r="DG203" s="92"/>
      <c r="DH203" s="92"/>
      <c r="DI203" s="92"/>
      <c r="DJ203" s="92"/>
      <c r="DK203" s="92"/>
      <c r="DL203" s="92"/>
      <c r="DM203" s="92"/>
      <c r="DN203" s="92"/>
      <c r="DO203" s="92"/>
      <c r="DP203" s="92"/>
      <c r="DQ203" s="92"/>
      <c r="DR203" s="92"/>
      <c r="DS203" s="92"/>
      <c r="DT203" s="92"/>
      <c r="DU203" s="92"/>
      <c r="DV203" s="92"/>
      <c r="DW203" s="92"/>
      <c r="DX203" s="92"/>
      <c r="DY203" s="92"/>
      <c r="DZ203" s="92"/>
      <c r="EA203" s="92"/>
    </row>
    <row r="204" spans="1:131" s="94" customFormat="1" ht="102" outlineLevel="1">
      <c r="A204" s="198" t="s">
        <v>357</v>
      </c>
      <c r="B204" s="202" t="s">
        <v>46</v>
      </c>
      <c r="C204" s="203" t="s">
        <v>47</v>
      </c>
      <c r="D204" s="203" t="s">
        <v>955</v>
      </c>
      <c r="E204" s="228" t="s">
        <v>910</v>
      </c>
      <c r="F204" s="203" t="s">
        <v>303</v>
      </c>
      <c r="G204" s="203" t="s">
        <v>956</v>
      </c>
      <c r="H204" s="203" t="s">
        <v>947</v>
      </c>
      <c r="I204" s="203" t="s">
        <v>957</v>
      </c>
      <c r="J204" s="221" t="s">
        <v>869</v>
      </c>
      <c r="K204" s="272">
        <v>0.2</v>
      </c>
      <c r="L204" s="272">
        <v>40</v>
      </c>
      <c r="M204" s="223" t="s">
        <v>298</v>
      </c>
      <c r="N204" s="223"/>
      <c r="O204" s="223"/>
      <c r="P204" s="220"/>
      <c r="Q204" s="220"/>
      <c r="R204" s="220"/>
      <c r="S204" s="220"/>
      <c r="T204" s="92"/>
      <c r="U204" s="92"/>
      <c r="V204" s="92"/>
      <c r="W204" s="92"/>
      <c r="X204" s="92"/>
      <c r="Y204" s="92"/>
      <c r="Z204" s="92"/>
      <c r="AA204" s="92"/>
      <c r="AB204" s="92"/>
      <c r="AC204" s="92"/>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2"/>
      <c r="BL204" s="92"/>
      <c r="BM204" s="92"/>
      <c r="BN204" s="92"/>
      <c r="BO204" s="92"/>
      <c r="BP204" s="92"/>
      <c r="BQ204" s="92"/>
      <c r="BR204" s="92"/>
      <c r="BS204" s="92"/>
      <c r="BT204" s="92"/>
      <c r="BU204" s="92"/>
      <c r="BV204" s="92"/>
      <c r="BW204" s="92"/>
      <c r="BX204" s="92"/>
      <c r="BY204" s="92"/>
      <c r="BZ204" s="92"/>
      <c r="CA204" s="92"/>
      <c r="CB204" s="92"/>
      <c r="CC204" s="92"/>
      <c r="CD204" s="92"/>
      <c r="CE204" s="92"/>
      <c r="CF204" s="92"/>
      <c r="CG204" s="92"/>
      <c r="CH204" s="92"/>
      <c r="CI204" s="92"/>
      <c r="CJ204" s="92"/>
      <c r="CK204" s="92"/>
      <c r="CL204" s="92"/>
      <c r="CM204" s="92"/>
      <c r="CN204" s="92"/>
      <c r="CO204" s="92"/>
      <c r="CP204" s="92"/>
      <c r="CQ204" s="92"/>
      <c r="CR204" s="92"/>
      <c r="CS204" s="92"/>
      <c r="CT204" s="92"/>
      <c r="CU204" s="92"/>
      <c r="CV204" s="92"/>
      <c r="CW204" s="92"/>
      <c r="CX204" s="92"/>
      <c r="CY204" s="92"/>
      <c r="CZ204" s="92"/>
      <c r="DA204" s="92"/>
      <c r="DB204" s="92"/>
      <c r="DC204" s="92"/>
      <c r="DD204" s="92"/>
      <c r="DE204" s="92"/>
      <c r="DF204" s="92"/>
      <c r="DG204" s="92"/>
      <c r="DH204" s="92"/>
      <c r="DI204" s="92"/>
      <c r="DJ204" s="92"/>
      <c r="DK204" s="92"/>
      <c r="DL204" s="92"/>
      <c r="DM204" s="92"/>
      <c r="DN204" s="92"/>
      <c r="DO204" s="92"/>
      <c r="DP204" s="92"/>
      <c r="DQ204" s="92"/>
      <c r="DR204" s="92"/>
      <c r="DS204" s="92"/>
      <c r="DT204" s="92"/>
      <c r="DU204" s="92"/>
      <c r="DV204" s="92"/>
      <c r="DW204" s="92"/>
      <c r="DX204" s="92"/>
      <c r="DY204" s="92"/>
      <c r="DZ204" s="92"/>
      <c r="EA204" s="92"/>
    </row>
    <row r="205" spans="1:131" s="94" customFormat="1" ht="119" outlineLevel="1">
      <c r="A205" s="198" t="s">
        <v>357</v>
      </c>
      <c r="B205" s="202" t="s">
        <v>46</v>
      </c>
      <c r="C205" s="203" t="s">
        <v>56</v>
      </c>
      <c r="D205" s="203" t="s">
        <v>353</v>
      </c>
      <c r="E205" s="228" t="s">
        <v>910</v>
      </c>
      <c r="F205" s="203" t="s">
        <v>303</v>
      </c>
      <c r="G205" s="203" t="s">
        <v>958</v>
      </c>
      <c r="H205" s="202" t="s">
        <v>947</v>
      </c>
      <c r="I205" s="203" t="s">
        <v>959</v>
      </c>
      <c r="J205" s="221" t="s">
        <v>869</v>
      </c>
      <c r="K205" s="272">
        <v>1</v>
      </c>
      <c r="L205" s="272">
        <v>30</v>
      </c>
      <c r="M205" s="223" t="s">
        <v>298</v>
      </c>
      <c r="N205" s="223"/>
      <c r="O205" s="223"/>
      <c r="P205" s="220"/>
      <c r="Q205" s="220"/>
      <c r="R205" s="220"/>
      <c r="S205" s="220"/>
      <c r="T205" s="92"/>
      <c r="U205" s="92"/>
      <c r="V205" s="92"/>
      <c r="W205" s="92"/>
      <c r="X205" s="92"/>
      <c r="Y205" s="92"/>
      <c r="Z205" s="92"/>
      <c r="AA205" s="92"/>
      <c r="AB205" s="92"/>
      <c r="AC205" s="92"/>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2"/>
      <c r="BL205" s="92"/>
      <c r="BM205" s="92"/>
      <c r="BN205" s="92"/>
      <c r="BO205" s="92"/>
      <c r="BP205" s="92"/>
      <c r="BQ205" s="92"/>
      <c r="BR205" s="92"/>
      <c r="BS205" s="92"/>
      <c r="BT205" s="92"/>
      <c r="BU205" s="92"/>
      <c r="BV205" s="92"/>
      <c r="BW205" s="92"/>
      <c r="BX205" s="92"/>
      <c r="BY205" s="92"/>
      <c r="BZ205" s="92"/>
      <c r="CA205" s="92"/>
      <c r="CB205" s="92"/>
      <c r="CC205" s="92"/>
      <c r="CD205" s="92"/>
      <c r="CE205" s="92"/>
      <c r="CF205" s="92"/>
      <c r="CG205" s="92"/>
      <c r="CH205" s="92"/>
      <c r="CI205" s="92"/>
      <c r="CJ205" s="92"/>
      <c r="CK205" s="92"/>
      <c r="CL205" s="92"/>
      <c r="CM205" s="92"/>
      <c r="CN205" s="92"/>
      <c r="CO205" s="92"/>
      <c r="CP205" s="92"/>
      <c r="CQ205" s="92"/>
      <c r="CR205" s="92"/>
      <c r="CS205" s="92"/>
      <c r="CT205" s="92"/>
      <c r="CU205" s="92"/>
      <c r="CV205" s="92"/>
      <c r="CW205" s="92"/>
      <c r="CX205" s="92"/>
      <c r="CY205" s="92"/>
      <c r="CZ205" s="92"/>
      <c r="DA205" s="92"/>
      <c r="DB205" s="92"/>
      <c r="DC205" s="92"/>
      <c r="DD205" s="92"/>
      <c r="DE205" s="92"/>
      <c r="DF205" s="92"/>
      <c r="DG205" s="92"/>
      <c r="DH205" s="92"/>
      <c r="DI205" s="92"/>
      <c r="DJ205" s="92"/>
      <c r="DK205" s="92"/>
      <c r="DL205" s="92"/>
      <c r="DM205" s="92"/>
      <c r="DN205" s="92"/>
      <c r="DO205" s="92"/>
      <c r="DP205" s="92"/>
      <c r="DQ205" s="92"/>
      <c r="DR205" s="92"/>
      <c r="DS205" s="92"/>
      <c r="DT205" s="92"/>
      <c r="DU205" s="92"/>
      <c r="DV205" s="92"/>
      <c r="DW205" s="92"/>
      <c r="DX205" s="92"/>
      <c r="DY205" s="92"/>
      <c r="DZ205" s="92"/>
      <c r="EA205" s="92"/>
    </row>
    <row r="206" spans="1:131" s="94" customFormat="1" ht="119" outlineLevel="1">
      <c r="A206" s="198" t="s">
        <v>357</v>
      </c>
      <c r="B206" s="202" t="s">
        <v>46</v>
      </c>
      <c r="C206" s="203" t="s">
        <v>56</v>
      </c>
      <c r="D206" s="203" t="s">
        <v>960</v>
      </c>
      <c r="E206" s="228" t="s">
        <v>910</v>
      </c>
      <c r="F206" s="203" t="s">
        <v>303</v>
      </c>
      <c r="G206" s="203" t="s">
        <v>958</v>
      </c>
      <c r="H206" s="202" t="s">
        <v>947</v>
      </c>
      <c r="I206" s="203" t="s">
        <v>959</v>
      </c>
      <c r="J206" s="221" t="s">
        <v>869</v>
      </c>
      <c r="K206" s="272">
        <v>1</v>
      </c>
      <c r="L206" s="272">
        <v>30</v>
      </c>
      <c r="M206" s="223" t="s">
        <v>298</v>
      </c>
      <c r="N206" s="223"/>
      <c r="O206" s="223"/>
      <c r="P206" s="220"/>
      <c r="Q206" s="220"/>
      <c r="R206" s="220"/>
      <c r="S206" s="220"/>
      <c r="T206" s="92"/>
      <c r="U206" s="92"/>
      <c r="V206" s="92"/>
      <c r="W206" s="92"/>
      <c r="X206" s="92"/>
      <c r="Y206" s="92"/>
      <c r="Z206" s="92"/>
      <c r="AA206" s="92"/>
      <c r="AB206" s="92"/>
      <c r="AC206" s="92"/>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2"/>
      <c r="BL206" s="92"/>
      <c r="BM206" s="92"/>
      <c r="BN206" s="92"/>
      <c r="BO206" s="92"/>
      <c r="BP206" s="92"/>
      <c r="BQ206" s="92"/>
      <c r="BR206" s="92"/>
      <c r="BS206" s="92"/>
      <c r="BT206" s="92"/>
      <c r="BU206" s="92"/>
      <c r="BV206" s="92"/>
      <c r="BW206" s="92"/>
      <c r="BX206" s="92"/>
      <c r="BY206" s="92"/>
      <c r="BZ206" s="92"/>
      <c r="CA206" s="92"/>
      <c r="CB206" s="92"/>
      <c r="CC206" s="92"/>
      <c r="CD206" s="92"/>
      <c r="CE206" s="92"/>
      <c r="CF206" s="92"/>
      <c r="CG206" s="92"/>
      <c r="CH206" s="92"/>
      <c r="CI206" s="92"/>
      <c r="CJ206" s="92"/>
      <c r="CK206" s="92"/>
      <c r="CL206" s="92"/>
      <c r="CM206" s="92"/>
      <c r="CN206" s="92"/>
      <c r="CO206" s="92"/>
      <c r="CP206" s="92"/>
      <c r="CQ206" s="92"/>
      <c r="CR206" s="92"/>
      <c r="CS206" s="92"/>
      <c r="CT206" s="92"/>
      <c r="CU206" s="92"/>
      <c r="CV206" s="92"/>
      <c r="CW206" s="92"/>
      <c r="CX206" s="92"/>
      <c r="CY206" s="92"/>
      <c r="CZ206" s="92"/>
      <c r="DA206" s="92"/>
      <c r="DB206" s="92"/>
      <c r="DC206" s="92"/>
      <c r="DD206" s="92"/>
      <c r="DE206" s="92"/>
      <c r="DF206" s="92"/>
      <c r="DG206" s="92"/>
      <c r="DH206" s="92"/>
      <c r="DI206" s="92"/>
      <c r="DJ206" s="92"/>
      <c r="DK206" s="92"/>
      <c r="DL206" s="92"/>
      <c r="DM206" s="92"/>
      <c r="DN206" s="92"/>
      <c r="DO206" s="92"/>
      <c r="DP206" s="92"/>
      <c r="DQ206" s="92"/>
      <c r="DR206" s="92"/>
      <c r="DS206" s="92"/>
      <c r="DT206" s="92"/>
      <c r="DU206" s="92"/>
      <c r="DV206" s="92"/>
      <c r="DW206" s="92"/>
      <c r="DX206" s="92"/>
      <c r="DY206" s="92"/>
      <c r="DZ206" s="92"/>
      <c r="EA206" s="92"/>
    </row>
    <row r="207" spans="1:131" s="94" customFormat="1" ht="68" outlineLevel="1">
      <c r="A207" s="198" t="s">
        <v>357</v>
      </c>
      <c r="B207" s="202" t="s">
        <v>46</v>
      </c>
      <c r="C207" s="203" t="s">
        <v>961</v>
      </c>
      <c r="D207" s="203" t="s">
        <v>962</v>
      </c>
      <c r="E207" s="228" t="s">
        <v>910</v>
      </c>
      <c r="F207" s="203" t="s">
        <v>303</v>
      </c>
      <c r="G207" s="203" t="s">
        <v>963</v>
      </c>
      <c r="H207" s="202" t="s">
        <v>947</v>
      </c>
      <c r="I207" s="203" t="s">
        <v>964</v>
      </c>
      <c r="J207" s="221" t="s">
        <v>869</v>
      </c>
      <c r="K207" s="272">
        <v>2</v>
      </c>
      <c r="L207" s="272">
        <v>1</v>
      </c>
      <c r="M207" s="223" t="s">
        <v>298</v>
      </c>
      <c r="N207" s="223"/>
      <c r="O207" s="223"/>
      <c r="P207" s="220"/>
      <c r="Q207" s="220"/>
      <c r="R207" s="220"/>
      <c r="S207" s="220"/>
      <c r="T207" s="92"/>
      <c r="U207" s="92"/>
      <c r="V207" s="92"/>
      <c r="W207" s="92"/>
      <c r="X207" s="92"/>
      <c r="Y207" s="92"/>
      <c r="Z207" s="92"/>
      <c r="AA207" s="92"/>
      <c r="AB207" s="92"/>
      <c r="AC207" s="92"/>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2"/>
      <c r="BL207" s="92"/>
      <c r="BM207" s="92"/>
      <c r="BN207" s="92"/>
      <c r="BO207" s="92"/>
      <c r="BP207" s="92"/>
      <c r="BQ207" s="92"/>
      <c r="BR207" s="92"/>
      <c r="BS207" s="92"/>
      <c r="BT207" s="92"/>
      <c r="BU207" s="92"/>
      <c r="BV207" s="92"/>
      <c r="BW207" s="92"/>
      <c r="BX207" s="92"/>
      <c r="BY207" s="92"/>
      <c r="BZ207" s="92"/>
      <c r="CA207" s="92"/>
      <c r="CB207" s="92"/>
      <c r="CC207" s="92"/>
      <c r="CD207" s="92"/>
      <c r="CE207" s="92"/>
      <c r="CF207" s="92"/>
      <c r="CG207" s="92"/>
      <c r="CH207" s="92"/>
      <c r="CI207" s="92"/>
      <c r="CJ207" s="92"/>
      <c r="CK207" s="92"/>
      <c r="CL207" s="92"/>
      <c r="CM207" s="92"/>
      <c r="CN207" s="92"/>
      <c r="CO207" s="92"/>
      <c r="CP207" s="92"/>
      <c r="CQ207" s="92"/>
      <c r="CR207" s="92"/>
      <c r="CS207" s="92"/>
      <c r="CT207" s="92"/>
      <c r="CU207" s="92"/>
      <c r="CV207" s="92"/>
      <c r="CW207" s="92"/>
      <c r="CX207" s="92"/>
      <c r="CY207" s="92"/>
      <c r="CZ207" s="92"/>
      <c r="DA207" s="92"/>
      <c r="DB207" s="92"/>
      <c r="DC207" s="92"/>
      <c r="DD207" s="92"/>
      <c r="DE207" s="92"/>
      <c r="DF207" s="92"/>
      <c r="DG207" s="92"/>
      <c r="DH207" s="92"/>
      <c r="DI207" s="92"/>
      <c r="DJ207" s="92"/>
      <c r="DK207" s="92"/>
      <c r="DL207" s="92"/>
      <c r="DM207" s="92"/>
      <c r="DN207" s="92"/>
      <c r="DO207" s="92"/>
      <c r="DP207" s="92"/>
      <c r="DQ207" s="92"/>
      <c r="DR207" s="92"/>
      <c r="DS207" s="92"/>
      <c r="DT207" s="92"/>
      <c r="DU207" s="92"/>
      <c r="DV207" s="92"/>
      <c r="DW207" s="92"/>
      <c r="DX207" s="92"/>
      <c r="DY207" s="92"/>
      <c r="DZ207" s="92"/>
      <c r="EA207" s="92"/>
    </row>
    <row r="208" spans="1:131" s="94" customFormat="1" ht="68" outlineLevel="1">
      <c r="A208" s="198" t="s">
        <v>357</v>
      </c>
      <c r="B208" s="202" t="s">
        <v>46</v>
      </c>
      <c r="C208" s="203" t="s">
        <v>47</v>
      </c>
      <c r="D208" s="202" t="s">
        <v>965</v>
      </c>
      <c r="E208" s="228" t="s">
        <v>910</v>
      </c>
      <c r="F208" s="203" t="s">
        <v>303</v>
      </c>
      <c r="G208" s="203" t="s">
        <v>966</v>
      </c>
      <c r="H208" s="202" t="s">
        <v>967</v>
      </c>
      <c r="I208" s="202" t="s">
        <v>968</v>
      </c>
      <c r="J208" s="221" t="s">
        <v>869</v>
      </c>
      <c r="K208" s="272">
        <v>3</v>
      </c>
      <c r="L208" s="272">
        <f>4*12</f>
        <v>48</v>
      </c>
      <c r="M208" s="223" t="s">
        <v>298</v>
      </c>
      <c r="N208" s="223"/>
      <c r="O208" s="223"/>
      <c r="P208" s="220"/>
      <c r="Q208" s="220"/>
      <c r="R208" s="220"/>
      <c r="S208" s="220"/>
      <c r="T208" s="92"/>
      <c r="U208" s="92"/>
      <c r="V208" s="92"/>
      <c r="W208" s="92"/>
      <c r="X208" s="92"/>
      <c r="Y208" s="92"/>
      <c r="Z208" s="92"/>
      <c r="AA208" s="92"/>
      <c r="AB208" s="92"/>
      <c r="AC208" s="92"/>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2"/>
      <c r="BL208" s="92"/>
      <c r="BM208" s="92"/>
      <c r="BN208" s="92"/>
      <c r="BO208" s="92"/>
      <c r="BP208" s="92"/>
      <c r="BQ208" s="92"/>
      <c r="BR208" s="92"/>
      <c r="BS208" s="92"/>
      <c r="BT208" s="92"/>
      <c r="BU208" s="92"/>
      <c r="BV208" s="92"/>
      <c r="BW208" s="92"/>
      <c r="BX208" s="92"/>
      <c r="BY208" s="92"/>
      <c r="BZ208" s="92"/>
      <c r="CA208" s="92"/>
      <c r="CB208" s="92"/>
      <c r="CC208" s="92"/>
      <c r="CD208" s="92"/>
      <c r="CE208" s="92"/>
      <c r="CF208" s="92"/>
      <c r="CG208" s="92"/>
      <c r="CH208" s="92"/>
      <c r="CI208" s="92"/>
      <c r="CJ208" s="92"/>
      <c r="CK208" s="92"/>
      <c r="CL208" s="92"/>
      <c r="CM208" s="92"/>
      <c r="CN208" s="92"/>
      <c r="CO208" s="92"/>
      <c r="CP208" s="92"/>
      <c r="CQ208" s="92"/>
      <c r="CR208" s="92"/>
      <c r="CS208" s="92"/>
      <c r="CT208" s="92"/>
      <c r="CU208" s="92"/>
      <c r="CV208" s="92"/>
      <c r="CW208" s="92"/>
      <c r="CX208" s="92"/>
      <c r="CY208" s="92"/>
      <c r="CZ208" s="92"/>
      <c r="DA208" s="92"/>
      <c r="DB208" s="92"/>
      <c r="DC208" s="92"/>
      <c r="DD208" s="92"/>
      <c r="DE208" s="92"/>
      <c r="DF208" s="92"/>
      <c r="DG208" s="92"/>
      <c r="DH208" s="92"/>
      <c r="DI208" s="92"/>
      <c r="DJ208" s="92"/>
      <c r="DK208" s="92"/>
      <c r="DL208" s="92"/>
      <c r="DM208" s="92"/>
      <c r="DN208" s="92"/>
      <c r="DO208" s="92"/>
      <c r="DP208" s="92"/>
      <c r="DQ208" s="92"/>
      <c r="DR208" s="92"/>
      <c r="DS208" s="92"/>
      <c r="DT208" s="92"/>
      <c r="DU208" s="92"/>
      <c r="DV208" s="92"/>
      <c r="DW208" s="92"/>
      <c r="DX208" s="92"/>
      <c r="DY208" s="92"/>
      <c r="DZ208" s="92"/>
      <c r="EA208" s="92"/>
    </row>
    <row r="209" spans="1:131" s="94" customFormat="1" ht="68" outlineLevel="1">
      <c r="A209" s="198" t="s">
        <v>357</v>
      </c>
      <c r="B209" s="202" t="s">
        <v>46</v>
      </c>
      <c r="C209" s="203" t="s">
        <v>47</v>
      </c>
      <c r="D209" s="203" t="s">
        <v>969</v>
      </c>
      <c r="E209" s="228" t="s">
        <v>910</v>
      </c>
      <c r="F209" s="203" t="s">
        <v>303</v>
      </c>
      <c r="G209" s="202" t="s">
        <v>970</v>
      </c>
      <c r="H209" s="202" t="s">
        <v>971</v>
      </c>
      <c r="I209" s="203" t="s">
        <v>972</v>
      </c>
      <c r="J209" s="221" t="s">
        <v>869</v>
      </c>
      <c r="K209" s="272">
        <v>5</v>
      </c>
      <c r="L209" s="272">
        <v>300</v>
      </c>
      <c r="M209" s="223" t="s">
        <v>298</v>
      </c>
      <c r="N209" s="223"/>
      <c r="O209" s="223"/>
      <c r="P209" s="220"/>
      <c r="Q209" s="220"/>
      <c r="R209" s="220"/>
      <c r="S209" s="220"/>
      <c r="T209" s="92"/>
      <c r="U209" s="92"/>
      <c r="V209" s="92"/>
      <c r="W209" s="92"/>
      <c r="X209" s="92"/>
      <c r="Y209" s="92"/>
      <c r="Z209" s="92"/>
      <c r="AA209" s="92"/>
      <c r="AB209" s="92"/>
      <c r="AC209" s="92"/>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2"/>
      <c r="BL209" s="92"/>
      <c r="BM209" s="92"/>
      <c r="BN209" s="92"/>
      <c r="BO209" s="92"/>
      <c r="BP209" s="92"/>
      <c r="BQ209" s="92"/>
      <c r="BR209" s="92"/>
      <c r="BS209" s="92"/>
      <c r="BT209" s="92"/>
      <c r="BU209" s="92"/>
      <c r="BV209" s="92"/>
      <c r="BW209" s="92"/>
      <c r="BX209" s="92"/>
      <c r="BY209" s="92"/>
      <c r="BZ209" s="92"/>
      <c r="CA209" s="92"/>
      <c r="CB209" s="92"/>
      <c r="CC209" s="92"/>
      <c r="CD209" s="92"/>
      <c r="CE209" s="92"/>
      <c r="CF209" s="92"/>
      <c r="CG209" s="92"/>
      <c r="CH209" s="92"/>
      <c r="CI209" s="92"/>
      <c r="CJ209" s="92"/>
      <c r="CK209" s="92"/>
      <c r="CL209" s="92"/>
      <c r="CM209" s="92"/>
      <c r="CN209" s="92"/>
      <c r="CO209" s="92"/>
      <c r="CP209" s="92"/>
      <c r="CQ209" s="92"/>
      <c r="CR209" s="92"/>
      <c r="CS209" s="92"/>
      <c r="CT209" s="92"/>
      <c r="CU209" s="92"/>
      <c r="CV209" s="92"/>
      <c r="CW209" s="92"/>
      <c r="CX209" s="92"/>
      <c r="CY209" s="92"/>
      <c r="CZ209" s="92"/>
      <c r="DA209" s="92"/>
      <c r="DB209" s="92"/>
      <c r="DC209" s="92"/>
      <c r="DD209" s="92"/>
      <c r="DE209" s="92"/>
      <c r="DF209" s="92"/>
      <c r="DG209" s="92"/>
      <c r="DH209" s="92"/>
      <c r="DI209" s="92"/>
      <c r="DJ209" s="92"/>
      <c r="DK209" s="92"/>
      <c r="DL209" s="92"/>
      <c r="DM209" s="92"/>
      <c r="DN209" s="92"/>
      <c r="DO209" s="92"/>
      <c r="DP209" s="92"/>
      <c r="DQ209" s="92"/>
      <c r="DR209" s="92"/>
      <c r="DS209" s="92"/>
      <c r="DT209" s="92"/>
      <c r="DU209" s="92"/>
      <c r="DV209" s="92"/>
      <c r="DW209" s="92"/>
      <c r="DX209" s="92"/>
      <c r="DY209" s="92"/>
      <c r="DZ209" s="92"/>
      <c r="EA209" s="92"/>
    </row>
    <row r="210" spans="1:131" s="95" customFormat="1" ht="68">
      <c r="A210" s="229" t="s">
        <v>357</v>
      </c>
      <c r="B210" s="230" t="s">
        <v>52</v>
      </c>
      <c r="C210" s="231" t="s">
        <v>53</v>
      </c>
      <c r="D210" s="232" t="s">
        <v>973</v>
      </c>
      <c r="E210" s="232" t="s">
        <v>910</v>
      </c>
      <c r="F210" s="232" t="s">
        <v>303</v>
      </c>
      <c r="G210" s="232" t="s">
        <v>974</v>
      </c>
      <c r="H210" s="232" t="s">
        <v>947</v>
      </c>
      <c r="I210" s="232" t="s">
        <v>975</v>
      </c>
      <c r="J210" s="219" t="s">
        <v>869</v>
      </c>
      <c r="K210" s="273">
        <v>168</v>
      </c>
      <c r="L210" s="273">
        <v>7</v>
      </c>
      <c r="M210" s="220" t="s">
        <v>298</v>
      </c>
      <c r="N210" s="220"/>
      <c r="O210" s="220"/>
      <c r="P210" s="220"/>
      <c r="Q210" s="220"/>
      <c r="R210" s="220"/>
      <c r="S210" s="220"/>
      <c r="T210" s="290"/>
      <c r="U210" s="290"/>
      <c r="V210" s="290"/>
      <c r="W210" s="290"/>
      <c r="X210" s="290"/>
      <c r="Y210" s="290"/>
      <c r="Z210" s="290"/>
      <c r="AA210" s="290"/>
      <c r="AB210" s="290"/>
      <c r="AC210" s="290"/>
      <c r="AD210" s="290"/>
      <c r="AE210" s="290"/>
      <c r="AF210" s="290"/>
      <c r="AG210" s="290"/>
      <c r="AH210" s="290"/>
      <c r="AI210" s="290"/>
      <c r="AJ210" s="290"/>
      <c r="AK210" s="290"/>
      <c r="AL210" s="290"/>
      <c r="AM210" s="290"/>
      <c r="AN210" s="290"/>
      <c r="AO210" s="290"/>
      <c r="AP210" s="290"/>
      <c r="AQ210" s="290"/>
      <c r="AR210" s="290"/>
      <c r="AS210" s="290"/>
      <c r="AT210" s="290"/>
      <c r="AU210" s="290"/>
      <c r="AV210" s="290"/>
      <c r="AW210" s="290"/>
      <c r="AX210" s="290"/>
      <c r="AY210" s="290"/>
      <c r="AZ210" s="290"/>
      <c r="BA210" s="290"/>
      <c r="BB210" s="290"/>
      <c r="BC210" s="290"/>
      <c r="BD210" s="290"/>
      <c r="BE210" s="290"/>
      <c r="BF210" s="290"/>
      <c r="BG210" s="290"/>
      <c r="BH210" s="290"/>
      <c r="BI210" s="290"/>
      <c r="BJ210" s="290"/>
      <c r="BK210" s="290"/>
      <c r="BL210" s="290"/>
      <c r="BM210" s="290"/>
      <c r="BN210" s="290"/>
      <c r="BO210" s="290"/>
      <c r="BP210" s="290"/>
      <c r="BQ210" s="290"/>
      <c r="BR210" s="290"/>
      <c r="BS210" s="290"/>
      <c r="BT210" s="290"/>
      <c r="BU210" s="290"/>
      <c r="BV210" s="290"/>
      <c r="BW210" s="290"/>
      <c r="BX210" s="290"/>
      <c r="BY210" s="290"/>
      <c r="BZ210" s="290"/>
      <c r="CA210" s="290"/>
      <c r="CB210" s="290"/>
      <c r="CC210" s="290"/>
      <c r="CD210" s="290"/>
      <c r="CE210" s="290"/>
      <c r="CF210" s="290"/>
      <c r="CG210" s="290"/>
      <c r="CH210" s="290"/>
      <c r="CI210" s="290"/>
      <c r="CJ210" s="290"/>
      <c r="CK210" s="290"/>
      <c r="CL210" s="290"/>
      <c r="CM210" s="290"/>
      <c r="CN210" s="290"/>
      <c r="CO210" s="290"/>
      <c r="CP210" s="290"/>
      <c r="CQ210" s="290"/>
      <c r="CR210" s="290"/>
      <c r="CS210" s="290"/>
      <c r="CT210" s="290"/>
      <c r="CU210" s="290"/>
      <c r="CV210" s="290"/>
      <c r="CW210" s="290"/>
      <c r="CX210" s="290"/>
      <c r="CY210" s="290"/>
      <c r="CZ210" s="290"/>
      <c r="DA210" s="290"/>
      <c r="DB210" s="290"/>
      <c r="DC210" s="290"/>
      <c r="DD210" s="290"/>
      <c r="DE210" s="290"/>
      <c r="DF210" s="290"/>
      <c r="DG210" s="290"/>
      <c r="DH210" s="290"/>
      <c r="DI210" s="290"/>
      <c r="DJ210" s="290"/>
      <c r="DK210" s="290"/>
      <c r="DL210" s="290"/>
      <c r="DM210" s="290"/>
      <c r="DN210" s="290"/>
      <c r="DO210" s="290"/>
      <c r="DP210" s="290"/>
      <c r="DQ210" s="290"/>
      <c r="DR210" s="290"/>
      <c r="DS210" s="290"/>
      <c r="DT210" s="290"/>
      <c r="DU210" s="290"/>
      <c r="DV210" s="290"/>
      <c r="DW210" s="290"/>
      <c r="DX210" s="290"/>
      <c r="DY210" s="290"/>
      <c r="DZ210" s="290"/>
      <c r="EA210" s="290"/>
    </row>
    <row r="211" spans="1:131" s="94" customFormat="1" ht="68" outlineLevel="1">
      <c r="A211" s="233" t="s">
        <v>357</v>
      </c>
      <c r="B211" s="234" t="s">
        <v>52</v>
      </c>
      <c r="C211" s="235" t="s">
        <v>53</v>
      </c>
      <c r="D211" s="228" t="s">
        <v>976</v>
      </c>
      <c r="E211" s="228" t="s">
        <v>910</v>
      </c>
      <c r="F211" s="228" t="s">
        <v>303</v>
      </c>
      <c r="G211" s="228" t="s">
        <v>977</v>
      </c>
      <c r="H211" s="236" t="s">
        <v>947</v>
      </c>
      <c r="I211" s="236" t="s">
        <v>975</v>
      </c>
      <c r="J211" s="221" t="s">
        <v>869</v>
      </c>
      <c r="K211" s="274">
        <v>168</v>
      </c>
      <c r="L211" s="274">
        <v>7</v>
      </c>
      <c r="M211" s="223" t="s">
        <v>298</v>
      </c>
      <c r="N211" s="223"/>
      <c r="O211" s="223"/>
      <c r="P211" s="220"/>
      <c r="Q211" s="220"/>
      <c r="R211" s="220"/>
      <c r="S211" s="220"/>
      <c r="T211" s="92"/>
      <c r="U211" s="92"/>
      <c r="V211" s="92"/>
      <c r="W211" s="92"/>
      <c r="X211" s="92"/>
      <c r="Y211" s="92"/>
      <c r="Z211" s="92"/>
      <c r="AA211" s="92"/>
      <c r="AB211" s="92"/>
      <c r="AC211" s="92"/>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2"/>
      <c r="BL211" s="92"/>
      <c r="BM211" s="92"/>
      <c r="BN211" s="92"/>
      <c r="BO211" s="92"/>
      <c r="BP211" s="92"/>
      <c r="BQ211" s="92"/>
      <c r="BR211" s="92"/>
      <c r="BS211" s="92"/>
      <c r="BT211" s="92"/>
      <c r="BU211" s="92"/>
      <c r="BV211" s="92"/>
      <c r="BW211" s="92"/>
      <c r="BX211" s="92"/>
      <c r="BY211" s="92"/>
      <c r="BZ211" s="92"/>
      <c r="CA211" s="92"/>
      <c r="CB211" s="92"/>
      <c r="CC211" s="92"/>
      <c r="CD211" s="92"/>
      <c r="CE211" s="92"/>
      <c r="CF211" s="92"/>
      <c r="CG211" s="92"/>
      <c r="CH211" s="92"/>
      <c r="CI211" s="92"/>
      <c r="CJ211" s="92"/>
      <c r="CK211" s="92"/>
      <c r="CL211" s="92"/>
      <c r="CM211" s="92"/>
      <c r="CN211" s="92"/>
      <c r="CO211" s="92"/>
      <c r="CP211" s="92"/>
      <c r="CQ211" s="92"/>
      <c r="CR211" s="92"/>
      <c r="CS211" s="92"/>
      <c r="CT211" s="92"/>
      <c r="CU211" s="92"/>
      <c r="CV211" s="92"/>
      <c r="CW211" s="92"/>
      <c r="CX211" s="92"/>
      <c r="CY211" s="92"/>
      <c r="CZ211" s="92"/>
      <c r="DA211" s="92"/>
      <c r="DB211" s="92"/>
      <c r="DC211" s="92"/>
      <c r="DD211" s="92"/>
      <c r="DE211" s="92"/>
      <c r="DF211" s="92"/>
      <c r="DG211" s="92"/>
      <c r="DH211" s="92"/>
      <c r="DI211" s="92"/>
      <c r="DJ211" s="92"/>
      <c r="DK211" s="92"/>
      <c r="DL211" s="92"/>
      <c r="DM211" s="92"/>
      <c r="DN211" s="92"/>
      <c r="DO211" s="92"/>
      <c r="DP211" s="92"/>
      <c r="DQ211" s="92"/>
      <c r="DR211" s="92"/>
      <c r="DS211" s="92"/>
      <c r="DT211" s="92"/>
      <c r="DU211" s="92"/>
      <c r="DV211" s="92"/>
      <c r="DW211" s="92"/>
      <c r="DX211" s="92"/>
      <c r="DY211" s="92"/>
      <c r="DZ211" s="92"/>
      <c r="EA211" s="92"/>
    </row>
    <row r="212" spans="1:131" s="93" customFormat="1" ht="102">
      <c r="A212" s="237" t="s">
        <v>357</v>
      </c>
      <c r="B212" s="237" t="s">
        <v>93</v>
      </c>
      <c r="C212" s="238" t="s">
        <v>94</v>
      </c>
      <c r="D212" s="238" t="s">
        <v>978</v>
      </c>
      <c r="E212" s="238" t="s">
        <v>979</v>
      </c>
      <c r="F212" s="238" t="s">
        <v>303</v>
      </c>
      <c r="G212" s="238" t="s">
        <v>848</v>
      </c>
      <c r="H212" s="238" t="s">
        <v>980</v>
      </c>
      <c r="I212" s="238" t="s">
        <v>981</v>
      </c>
      <c r="J212" s="275" t="s">
        <v>869</v>
      </c>
      <c r="K212" s="276">
        <f>SUM(K213:K226)</f>
        <v>538</v>
      </c>
      <c r="L212" s="276">
        <f>SUM(L213:L226)</f>
        <v>497</v>
      </c>
      <c r="M212" s="276" t="s">
        <v>298</v>
      </c>
      <c r="N212" s="276"/>
      <c r="O212" s="277"/>
      <c r="P212" s="277"/>
      <c r="Q212" s="277"/>
      <c r="R212" s="277"/>
      <c r="S212" s="277"/>
    </row>
    <row r="213" spans="1:131" s="92" customFormat="1" ht="85" outlineLevel="1">
      <c r="A213" s="239" t="s">
        <v>357</v>
      </c>
      <c r="B213" s="239" t="s">
        <v>99</v>
      </c>
      <c r="C213" s="240" t="s">
        <v>100</v>
      </c>
      <c r="D213" s="240" t="s">
        <v>982</v>
      </c>
      <c r="E213" s="240" t="s">
        <v>979</v>
      </c>
      <c r="F213" s="240" t="s">
        <v>303</v>
      </c>
      <c r="G213" s="240" t="s">
        <v>335</v>
      </c>
      <c r="H213" s="240" t="s">
        <v>983</v>
      </c>
      <c r="I213" s="240" t="s">
        <v>984</v>
      </c>
      <c r="J213" s="278" t="s">
        <v>869</v>
      </c>
      <c r="K213" s="277">
        <v>16</v>
      </c>
      <c r="L213" s="277">
        <v>175</v>
      </c>
      <c r="M213" s="277" t="s">
        <v>298</v>
      </c>
      <c r="N213" s="277"/>
      <c r="O213" s="277"/>
      <c r="P213" s="277"/>
      <c r="Q213" s="277"/>
      <c r="R213" s="277"/>
      <c r="S213" s="277"/>
    </row>
    <row r="214" spans="1:131" s="92" customFormat="1" ht="85" outlineLevel="1">
      <c r="A214" s="239" t="s">
        <v>357</v>
      </c>
      <c r="B214" s="239" t="s">
        <v>99</v>
      </c>
      <c r="C214" s="240" t="s">
        <v>103</v>
      </c>
      <c r="D214" s="240" t="s">
        <v>985</v>
      </c>
      <c r="E214" s="240" t="s">
        <v>979</v>
      </c>
      <c r="F214" s="240" t="s">
        <v>303</v>
      </c>
      <c r="G214" s="240" t="s">
        <v>335</v>
      </c>
      <c r="H214" s="240" t="s">
        <v>986</v>
      </c>
      <c r="I214" s="240" t="s">
        <v>987</v>
      </c>
      <c r="J214" s="278" t="s">
        <v>869</v>
      </c>
      <c r="K214" s="277">
        <v>24</v>
      </c>
      <c r="L214" s="277">
        <v>18</v>
      </c>
      <c r="M214" s="277" t="s">
        <v>298</v>
      </c>
      <c r="N214" s="277"/>
      <c r="O214" s="277"/>
      <c r="P214" s="277"/>
      <c r="Q214" s="277"/>
      <c r="R214" s="277"/>
      <c r="S214" s="277"/>
    </row>
    <row r="215" spans="1:131" s="92" customFormat="1" ht="85" outlineLevel="1">
      <c r="A215" s="239" t="s">
        <v>357</v>
      </c>
      <c r="B215" s="239" t="s">
        <v>102</v>
      </c>
      <c r="C215" s="240" t="s">
        <v>103</v>
      </c>
      <c r="D215" s="240" t="s">
        <v>988</v>
      </c>
      <c r="E215" s="240" t="s">
        <v>979</v>
      </c>
      <c r="F215" s="240" t="s">
        <v>303</v>
      </c>
      <c r="G215" s="240" t="s">
        <v>335</v>
      </c>
      <c r="H215" s="240" t="s">
        <v>989</v>
      </c>
      <c r="I215" s="240" t="s">
        <v>990</v>
      </c>
      <c r="J215" s="278" t="s">
        <v>869</v>
      </c>
      <c r="K215" s="240">
        <v>3</v>
      </c>
      <c r="L215" s="240">
        <v>18</v>
      </c>
      <c r="M215" s="277" t="s">
        <v>298</v>
      </c>
      <c r="N215" s="277"/>
      <c r="O215" s="277"/>
      <c r="P215" s="277"/>
      <c r="Q215" s="277"/>
      <c r="R215" s="277"/>
      <c r="S215" s="277"/>
    </row>
    <row r="216" spans="1:131" s="92" customFormat="1" ht="85" outlineLevel="1">
      <c r="A216" s="239" t="s">
        <v>357</v>
      </c>
      <c r="B216" s="239" t="s">
        <v>102</v>
      </c>
      <c r="C216" s="240" t="s">
        <v>103</v>
      </c>
      <c r="D216" s="240" t="s">
        <v>991</v>
      </c>
      <c r="E216" s="240" t="s">
        <v>979</v>
      </c>
      <c r="F216" s="240" t="s">
        <v>303</v>
      </c>
      <c r="G216" s="240" t="s">
        <v>335</v>
      </c>
      <c r="H216" s="240" t="s">
        <v>989</v>
      </c>
      <c r="I216" s="240" t="s">
        <v>992</v>
      </c>
      <c r="J216" s="278" t="s">
        <v>869</v>
      </c>
      <c r="K216" s="240">
        <v>3</v>
      </c>
      <c r="L216" s="279">
        <v>18</v>
      </c>
      <c r="M216" s="277" t="s">
        <v>298</v>
      </c>
      <c r="N216" s="277"/>
      <c r="O216" s="277"/>
      <c r="P216" s="277"/>
      <c r="Q216" s="277"/>
      <c r="R216" s="277"/>
      <c r="S216" s="277"/>
    </row>
    <row r="217" spans="1:131" s="92" customFormat="1" ht="85" outlineLevel="1">
      <c r="A217" s="239" t="s">
        <v>357</v>
      </c>
      <c r="B217" s="239" t="s">
        <v>102</v>
      </c>
      <c r="C217" s="240" t="s">
        <v>103</v>
      </c>
      <c r="D217" s="240" t="s">
        <v>993</v>
      </c>
      <c r="E217" s="240" t="s">
        <v>979</v>
      </c>
      <c r="F217" s="240" t="s">
        <v>303</v>
      </c>
      <c r="G217" s="240" t="s">
        <v>994</v>
      </c>
      <c r="H217" s="240" t="s">
        <v>995</v>
      </c>
      <c r="I217" s="240" t="s">
        <v>996</v>
      </c>
      <c r="J217" s="278" t="s">
        <v>869</v>
      </c>
      <c r="K217" s="277">
        <v>1</v>
      </c>
      <c r="L217" s="277">
        <v>13</v>
      </c>
      <c r="M217" s="277" t="s">
        <v>298</v>
      </c>
      <c r="N217" s="277"/>
      <c r="O217" s="277"/>
      <c r="P217" s="277"/>
      <c r="Q217" s="277"/>
      <c r="R217" s="277"/>
      <c r="S217" s="277"/>
    </row>
    <row r="218" spans="1:131" s="92" customFormat="1" ht="85" outlineLevel="1">
      <c r="A218" s="239" t="s">
        <v>357</v>
      </c>
      <c r="B218" s="239" t="s">
        <v>102</v>
      </c>
      <c r="C218" s="240" t="s">
        <v>103</v>
      </c>
      <c r="D218" s="240" t="s">
        <v>997</v>
      </c>
      <c r="E218" s="240" t="s">
        <v>979</v>
      </c>
      <c r="F218" s="240" t="s">
        <v>303</v>
      </c>
      <c r="G218" s="240" t="s">
        <v>994</v>
      </c>
      <c r="H218" s="240" t="s">
        <v>998</v>
      </c>
      <c r="I218" s="240" t="s">
        <v>999</v>
      </c>
      <c r="J218" s="278" t="s">
        <v>869</v>
      </c>
      <c r="K218" s="277">
        <v>240</v>
      </c>
      <c r="L218" s="277">
        <v>7</v>
      </c>
      <c r="M218" s="277" t="s">
        <v>298</v>
      </c>
      <c r="N218" s="277"/>
      <c r="O218" s="277"/>
      <c r="P218" s="277"/>
      <c r="Q218" s="277"/>
      <c r="R218" s="277"/>
      <c r="S218" s="277"/>
    </row>
    <row r="219" spans="1:131" s="92" customFormat="1" ht="85" outlineLevel="1">
      <c r="A219" s="239" t="s">
        <v>357</v>
      </c>
      <c r="B219" s="239" t="s">
        <v>102</v>
      </c>
      <c r="C219" s="240" t="s">
        <v>103</v>
      </c>
      <c r="D219" s="240" t="s">
        <v>1000</v>
      </c>
      <c r="E219" s="240" t="s">
        <v>979</v>
      </c>
      <c r="F219" s="240" t="s">
        <v>303</v>
      </c>
      <c r="G219" s="240" t="s">
        <v>994</v>
      </c>
      <c r="H219" s="240" t="s">
        <v>998</v>
      </c>
      <c r="I219" s="240" t="s">
        <v>999</v>
      </c>
      <c r="J219" s="278" t="s">
        <v>869</v>
      </c>
      <c r="K219" s="277">
        <v>160</v>
      </c>
      <c r="L219" s="277">
        <v>2</v>
      </c>
      <c r="M219" s="277" t="s">
        <v>298</v>
      </c>
      <c r="N219" s="277"/>
      <c r="O219" s="277"/>
      <c r="P219" s="277"/>
      <c r="Q219" s="277"/>
      <c r="R219" s="277"/>
      <c r="S219" s="277"/>
    </row>
    <row r="220" spans="1:131" s="92" customFormat="1" ht="85" outlineLevel="1">
      <c r="A220" s="239" t="s">
        <v>357</v>
      </c>
      <c r="B220" s="239" t="s">
        <v>102</v>
      </c>
      <c r="C220" s="240" t="s">
        <v>103</v>
      </c>
      <c r="D220" s="240" t="s">
        <v>1001</v>
      </c>
      <c r="E220" s="240" t="s">
        <v>979</v>
      </c>
      <c r="F220" s="240" t="s">
        <v>303</v>
      </c>
      <c r="G220" s="240" t="s">
        <v>994</v>
      </c>
      <c r="H220" s="240" t="s">
        <v>1002</v>
      </c>
      <c r="I220" s="240" t="s">
        <v>999</v>
      </c>
      <c r="J220" s="278" t="s">
        <v>869</v>
      </c>
      <c r="K220" s="277">
        <v>80</v>
      </c>
      <c r="L220" s="277">
        <v>9</v>
      </c>
      <c r="M220" s="277" t="s">
        <v>298</v>
      </c>
      <c r="N220" s="277"/>
      <c r="O220" s="277"/>
      <c r="P220" s="277"/>
      <c r="Q220" s="277"/>
      <c r="R220" s="277"/>
      <c r="S220" s="277"/>
    </row>
    <row r="221" spans="1:131" s="92" customFormat="1" ht="85" outlineLevel="1">
      <c r="A221" s="239" t="s">
        <v>357</v>
      </c>
      <c r="B221" s="239" t="s">
        <v>108</v>
      </c>
      <c r="C221" s="240" t="s">
        <v>109</v>
      </c>
      <c r="D221" s="240" t="s">
        <v>1003</v>
      </c>
      <c r="E221" s="240" t="s">
        <v>979</v>
      </c>
      <c r="F221" s="240" t="s">
        <v>303</v>
      </c>
      <c r="G221" s="240" t="s">
        <v>339</v>
      </c>
      <c r="H221" s="240" t="s">
        <v>1004</v>
      </c>
      <c r="I221" s="240" t="s">
        <v>1004</v>
      </c>
      <c r="J221" s="278" t="s">
        <v>869</v>
      </c>
      <c r="K221" s="277">
        <v>4</v>
      </c>
      <c r="L221" s="277">
        <v>155</v>
      </c>
      <c r="M221" s="277" t="s">
        <v>298</v>
      </c>
      <c r="N221" s="277"/>
      <c r="O221" s="277"/>
      <c r="P221" s="277"/>
      <c r="Q221" s="277"/>
      <c r="R221" s="277"/>
      <c r="S221" s="277"/>
    </row>
    <row r="222" spans="1:131" s="92" customFormat="1" ht="85" outlineLevel="1">
      <c r="A222" s="239" t="s">
        <v>357</v>
      </c>
      <c r="B222" s="239" t="s">
        <v>102</v>
      </c>
      <c r="C222" s="240" t="s">
        <v>103</v>
      </c>
      <c r="D222" s="240" t="s">
        <v>1005</v>
      </c>
      <c r="E222" s="240" t="s">
        <v>979</v>
      </c>
      <c r="F222" s="240" t="s">
        <v>303</v>
      </c>
      <c r="G222" s="240" t="s">
        <v>994</v>
      </c>
      <c r="H222" s="240" t="s">
        <v>1006</v>
      </c>
      <c r="I222" s="240" t="s">
        <v>1007</v>
      </c>
      <c r="J222" s="278" t="s">
        <v>869</v>
      </c>
      <c r="K222" s="277">
        <v>2</v>
      </c>
      <c r="L222" s="277">
        <v>13</v>
      </c>
      <c r="M222" s="277" t="s">
        <v>298</v>
      </c>
      <c r="N222" s="277"/>
      <c r="O222" s="277"/>
      <c r="P222" s="277"/>
      <c r="Q222" s="277"/>
      <c r="R222" s="277"/>
      <c r="S222" s="277"/>
    </row>
    <row r="223" spans="1:131" s="92" customFormat="1" ht="119" outlineLevel="1">
      <c r="A223" s="239" t="s">
        <v>357</v>
      </c>
      <c r="B223" s="239" t="s">
        <v>121</v>
      </c>
      <c r="C223" s="240" t="s">
        <v>122</v>
      </c>
      <c r="D223" s="240" t="s">
        <v>1008</v>
      </c>
      <c r="E223" s="240" t="s">
        <v>979</v>
      </c>
      <c r="F223" s="240" t="s">
        <v>303</v>
      </c>
      <c r="G223" s="240" t="s">
        <v>958</v>
      </c>
      <c r="H223" s="240" t="s">
        <v>1009</v>
      </c>
      <c r="I223" s="239" t="s">
        <v>1010</v>
      </c>
      <c r="J223" s="278" t="s">
        <v>869</v>
      </c>
      <c r="K223" s="277">
        <v>2</v>
      </c>
      <c r="L223" s="277">
        <v>5</v>
      </c>
      <c r="M223" s="277" t="s">
        <v>298</v>
      </c>
      <c r="N223" s="277"/>
      <c r="O223" s="277"/>
      <c r="P223" s="277"/>
      <c r="Q223" s="277"/>
      <c r="R223" s="277"/>
      <c r="S223" s="277"/>
    </row>
    <row r="224" spans="1:131" s="92" customFormat="1" ht="119" outlineLevel="1">
      <c r="A224" s="240" t="s">
        <v>357</v>
      </c>
      <c r="B224" s="240" t="s">
        <v>121</v>
      </c>
      <c r="C224" s="240" t="s">
        <v>122</v>
      </c>
      <c r="D224" s="240" t="s">
        <v>1011</v>
      </c>
      <c r="E224" s="240" t="s">
        <v>979</v>
      </c>
      <c r="F224" s="240" t="s">
        <v>303</v>
      </c>
      <c r="G224" s="240" t="s">
        <v>958</v>
      </c>
      <c r="H224" s="240" t="s">
        <v>989</v>
      </c>
      <c r="I224" s="240" t="s">
        <v>1012</v>
      </c>
      <c r="J224" s="278" t="s">
        <v>869</v>
      </c>
      <c r="K224" s="278">
        <v>1</v>
      </c>
      <c r="L224" s="278">
        <v>4</v>
      </c>
      <c r="M224" s="277" t="s">
        <v>298</v>
      </c>
      <c r="N224" s="277"/>
      <c r="O224" s="277"/>
      <c r="P224" s="277"/>
      <c r="Q224" s="277"/>
      <c r="R224" s="277"/>
      <c r="S224" s="277"/>
    </row>
    <row r="225" spans="1:19" s="92" customFormat="1" ht="119" outlineLevel="1">
      <c r="A225" s="240" t="s">
        <v>357</v>
      </c>
      <c r="B225" s="240" t="s">
        <v>124</v>
      </c>
      <c r="C225" s="240" t="s">
        <v>125</v>
      </c>
      <c r="D225" s="240" t="s">
        <v>1013</v>
      </c>
      <c r="E225" s="240" t="s">
        <v>979</v>
      </c>
      <c r="F225" s="240" t="s">
        <v>303</v>
      </c>
      <c r="G225" s="240" t="s">
        <v>958</v>
      </c>
      <c r="H225" s="240" t="s">
        <v>989</v>
      </c>
      <c r="I225" s="240" t="s">
        <v>1012</v>
      </c>
      <c r="J225" s="278" t="s">
        <v>869</v>
      </c>
      <c r="K225" s="278">
        <v>1</v>
      </c>
      <c r="L225" s="278">
        <v>30</v>
      </c>
      <c r="M225" s="277" t="s">
        <v>298</v>
      </c>
      <c r="N225" s="277"/>
      <c r="O225" s="277"/>
      <c r="P225" s="277"/>
      <c r="Q225" s="277"/>
      <c r="R225" s="277"/>
      <c r="S225" s="277"/>
    </row>
    <row r="226" spans="1:19" s="92" customFormat="1" ht="119" outlineLevel="1">
      <c r="A226" s="240" t="s">
        <v>357</v>
      </c>
      <c r="B226" s="240" t="s">
        <v>127</v>
      </c>
      <c r="C226" s="240" t="s">
        <v>327</v>
      </c>
      <c r="D226" s="240" t="s">
        <v>1014</v>
      </c>
      <c r="E226" s="240" t="s">
        <v>979</v>
      </c>
      <c r="F226" s="240" t="s">
        <v>303</v>
      </c>
      <c r="G226" s="240" t="s">
        <v>958</v>
      </c>
      <c r="H226" s="240" t="s">
        <v>989</v>
      </c>
      <c r="I226" s="240" t="s">
        <v>1012</v>
      </c>
      <c r="J226" s="278" t="s">
        <v>869</v>
      </c>
      <c r="K226" s="278">
        <v>1</v>
      </c>
      <c r="L226" s="278">
        <v>30</v>
      </c>
      <c r="M226" s="277" t="s">
        <v>298</v>
      </c>
      <c r="N226" s="277"/>
      <c r="O226" s="277"/>
      <c r="P226" s="277"/>
      <c r="Q226" s="277"/>
      <c r="R226" s="277"/>
      <c r="S226" s="277"/>
    </row>
    <row r="227" spans="1:19" s="93" customFormat="1" ht="68">
      <c r="A227" s="234" t="s">
        <v>357</v>
      </c>
      <c r="B227" s="241" t="s">
        <v>28</v>
      </c>
      <c r="C227" s="241" t="s">
        <v>29</v>
      </c>
      <c r="D227" s="241" t="s">
        <v>1015</v>
      </c>
      <c r="E227" s="199" t="s">
        <v>866</v>
      </c>
      <c r="F227" s="241" t="s">
        <v>303</v>
      </c>
      <c r="G227" s="241" t="s">
        <v>848</v>
      </c>
      <c r="H227" s="242" t="s">
        <v>321</v>
      </c>
      <c r="I227" s="241" t="s">
        <v>1016</v>
      </c>
      <c r="J227" s="273" t="s">
        <v>869</v>
      </c>
      <c r="K227" s="273">
        <f>K228+K229+K230+K231+K232+K233+K234+K235+K236+K237+K238+K239+K240+K241+K242</f>
        <v>548</v>
      </c>
      <c r="L227" s="273">
        <f>L228+L229+L230+L231+L232+L233+L234+L235+L236+L237+L238+L239+L240+L241+L242</f>
        <v>263</v>
      </c>
      <c r="M227" s="273" t="s">
        <v>298</v>
      </c>
      <c r="N227" s="273"/>
      <c r="O227" s="280"/>
      <c r="P227" s="280"/>
      <c r="Q227" s="280"/>
      <c r="R227" s="280"/>
      <c r="S227" s="280"/>
    </row>
    <row r="228" spans="1:19" s="92" customFormat="1" ht="66" customHeight="1" outlineLevel="1">
      <c r="A228" s="234" t="s">
        <v>357</v>
      </c>
      <c r="B228" s="242" t="s">
        <v>31</v>
      </c>
      <c r="C228" s="242" t="s">
        <v>32</v>
      </c>
      <c r="D228" s="242" t="s">
        <v>1017</v>
      </c>
      <c r="E228" s="241" t="s">
        <v>1018</v>
      </c>
      <c r="F228" s="242" t="s">
        <v>303</v>
      </c>
      <c r="G228" s="242" t="s">
        <v>331</v>
      </c>
      <c r="H228" s="242" t="s">
        <v>410</v>
      </c>
      <c r="I228" s="242" t="s">
        <v>1019</v>
      </c>
      <c r="J228" s="280" t="s">
        <v>869</v>
      </c>
      <c r="K228" s="280">
        <f>3*8+10*8+4*8+1*16</f>
        <v>152</v>
      </c>
      <c r="L228" s="280">
        <v>1</v>
      </c>
      <c r="M228" s="280" t="s">
        <v>298</v>
      </c>
      <c r="N228" s="280"/>
      <c r="O228" s="280"/>
      <c r="P228" s="280"/>
      <c r="Q228" s="280"/>
      <c r="R228" s="280"/>
      <c r="S228" s="280"/>
    </row>
    <row r="229" spans="1:19" s="92" customFormat="1" ht="50.25" customHeight="1" outlineLevel="1">
      <c r="A229" s="234" t="s">
        <v>357</v>
      </c>
      <c r="B229" s="242" t="s">
        <v>31</v>
      </c>
      <c r="C229" s="242" t="s">
        <v>32</v>
      </c>
      <c r="D229" s="242" t="s">
        <v>1020</v>
      </c>
      <c r="E229" s="241" t="s">
        <v>1021</v>
      </c>
      <c r="F229" s="242" t="s">
        <v>303</v>
      </c>
      <c r="G229" s="242" t="s">
        <v>331</v>
      </c>
      <c r="H229" s="242" t="s">
        <v>321</v>
      </c>
      <c r="I229" s="242" t="s">
        <v>1022</v>
      </c>
      <c r="J229" s="280" t="s">
        <v>869</v>
      </c>
      <c r="K229" s="280">
        <v>4</v>
      </c>
      <c r="L229" s="280">
        <v>8</v>
      </c>
      <c r="M229" s="280" t="s">
        <v>298</v>
      </c>
      <c r="N229" s="280"/>
      <c r="O229" s="280"/>
      <c r="P229" s="280"/>
      <c r="Q229" s="280"/>
      <c r="R229" s="280"/>
      <c r="S229" s="280"/>
    </row>
    <row r="230" spans="1:19" s="92" customFormat="1" ht="51" outlineLevel="1">
      <c r="A230" s="234" t="s">
        <v>357</v>
      </c>
      <c r="B230" s="242" t="s">
        <v>31</v>
      </c>
      <c r="C230" s="242" t="s">
        <v>32</v>
      </c>
      <c r="D230" s="242" t="s">
        <v>1023</v>
      </c>
      <c r="E230" s="241" t="s">
        <v>1024</v>
      </c>
      <c r="F230" s="242" t="s">
        <v>303</v>
      </c>
      <c r="G230" s="242" t="s">
        <v>331</v>
      </c>
      <c r="H230" s="242" t="s">
        <v>321</v>
      </c>
      <c r="I230" s="242" t="s">
        <v>1025</v>
      </c>
      <c r="J230" s="280" t="s">
        <v>869</v>
      </c>
      <c r="K230" s="280">
        <f>4*8</f>
        <v>32</v>
      </c>
      <c r="L230" s="280">
        <v>1</v>
      </c>
      <c r="M230" s="280" t="s">
        <v>298</v>
      </c>
      <c r="N230" s="280"/>
      <c r="O230" s="280"/>
      <c r="P230" s="280"/>
      <c r="Q230" s="280"/>
      <c r="R230" s="280"/>
      <c r="S230" s="280"/>
    </row>
    <row r="231" spans="1:19" ht="51" outlineLevel="1">
      <c r="A231" s="234" t="s">
        <v>357</v>
      </c>
      <c r="B231" s="243" t="s">
        <v>31</v>
      </c>
      <c r="C231" s="242" t="s">
        <v>32</v>
      </c>
      <c r="D231" s="242" t="s">
        <v>1026</v>
      </c>
      <c r="E231" s="244" t="s">
        <v>1027</v>
      </c>
      <c r="F231" s="243" t="s">
        <v>303</v>
      </c>
      <c r="G231" s="243" t="s">
        <v>322</v>
      </c>
      <c r="H231" s="242" t="s">
        <v>321</v>
      </c>
      <c r="I231" s="243" t="s">
        <v>1028</v>
      </c>
      <c r="J231" s="280" t="s">
        <v>869</v>
      </c>
      <c r="K231" s="281">
        <f>5*8</f>
        <v>40</v>
      </c>
      <c r="L231" s="281">
        <v>6</v>
      </c>
      <c r="M231" s="280" t="s">
        <v>298</v>
      </c>
      <c r="N231" s="280"/>
      <c r="O231" s="280"/>
      <c r="P231" s="280"/>
      <c r="Q231" s="280"/>
      <c r="R231" s="280"/>
      <c r="S231" s="280"/>
    </row>
    <row r="232" spans="1:19" ht="68" outlineLevel="1">
      <c r="A232" s="234" t="s">
        <v>357</v>
      </c>
      <c r="B232" s="243" t="s">
        <v>31</v>
      </c>
      <c r="C232" s="242" t="s">
        <v>32</v>
      </c>
      <c r="D232" s="243" t="s">
        <v>1029</v>
      </c>
      <c r="E232" s="244" t="s">
        <v>1027</v>
      </c>
      <c r="F232" s="402" t="s">
        <v>296</v>
      </c>
      <c r="G232" s="243" t="s">
        <v>501</v>
      </c>
      <c r="H232" s="243" t="s">
        <v>410</v>
      </c>
      <c r="I232" s="243" t="s">
        <v>1028</v>
      </c>
      <c r="J232" s="280" t="s">
        <v>869</v>
      </c>
      <c r="K232" s="281">
        <v>1</v>
      </c>
      <c r="L232" s="281">
        <f>5+5*5</f>
        <v>30</v>
      </c>
      <c r="M232" s="280" t="s">
        <v>298</v>
      </c>
      <c r="N232" s="280"/>
      <c r="O232" s="280"/>
      <c r="P232" s="280"/>
      <c r="Q232" s="280"/>
      <c r="R232" s="280"/>
      <c r="S232" s="280"/>
    </row>
    <row r="233" spans="1:19" ht="68" outlineLevel="1">
      <c r="A233" s="234" t="s">
        <v>357</v>
      </c>
      <c r="B233" s="243" t="s">
        <v>31</v>
      </c>
      <c r="C233" s="242" t="s">
        <v>32</v>
      </c>
      <c r="D233" s="242" t="s">
        <v>1030</v>
      </c>
      <c r="E233" s="199" t="s">
        <v>866</v>
      </c>
      <c r="F233" s="243" t="s">
        <v>303</v>
      </c>
      <c r="G233" s="243" t="s">
        <v>322</v>
      </c>
      <c r="H233" s="242" t="s">
        <v>321</v>
      </c>
      <c r="I233" s="243" t="s">
        <v>1031</v>
      </c>
      <c r="J233" s="280" t="s">
        <v>869</v>
      </c>
      <c r="K233" s="281">
        <v>1</v>
      </c>
      <c r="L233" s="281">
        <v>12</v>
      </c>
      <c r="M233" s="280" t="s">
        <v>298</v>
      </c>
      <c r="N233" s="280"/>
      <c r="O233" s="280"/>
      <c r="P233" s="280"/>
      <c r="Q233" s="280"/>
      <c r="R233" s="280"/>
      <c r="S233" s="280"/>
    </row>
    <row r="234" spans="1:19" ht="68" outlineLevel="1">
      <c r="A234" s="234" t="s">
        <v>357</v>
      </c>
      <c r="B234" s="243" t="s">
        <v>31</v>
      </c>
      <c r="C234" s="242" t="s">
        <v>32</v>
      </c>
      <c r="D234" s="242" t="s">
        <v>1032</v>
      </c>
      <c r="E234" s="199" t="s">
        <v>866</v>
      </c>
      <c r="F234" s="243" t="s">
        <v>303</v>
      </c>
      <c r="G234" s="243" t="s">
        <v>322</v>
      </c>
      <c r="H234" s="242" t="s">
        <v>321</v>
      </c>
      <c r="I234" s="243" t="s">
        <v>1033</v>
      </c>
      <c r="J234" s="280" t="s">
        <v>869</v>
      </c>
      <c r="K234" s="281">
        <v>2</v>
      </c>
      <c r="L234" s="281">
        <v>8</v>
      </c>
      <c r="M234" s="280" t="s">
        <v>298</v>
      </c>
      <c r="N234" s="280"/>
      <c r="O234" s="280"/>
      <c r="P234" s="280"/>
      <c r="Q234" s="280"/>
      <c r="R234" s="280"/>
      <c r="S234" s="280"/>
    </row>
    <row r="235" spans="1:19" ht="99.75" customHeight="1" outlineLevel="1">
      <c r="A235" s="234" t="s">
        <v>357</v>
      </c>
      <c r="B235" s="243" t="s">
        <v>31</v>
      </c>
      <c r="C235" s="242" t="s">
        <v>32</v>
      </c>
      <c r="D235" s="242" t="s">
        <v>1034</v>
      </c>
      <c r="E235" s="244" t="s">
        <v>866</v>
      </c>
      <c r="F235" s="243" t="s">
        <v>303</v>
      </c>
      <c r="G235" s="243" t="s">
        <v>331</v>
      </c>
      <c r="H235" s="243" t="s">
        <v>321</v>
      </c>
      <c r="I235" s="242" t="s">
        <v>1022</v>
      </c>
      <c r="J235" s="280" t="s">
        <v>869</v>
      </c>
      <c r="K235" s="281">
        <f>3*8</f>
        <v>24</v>
      </c>
      <c r="L235" s="281">
        <v>1</v>
      </c>
      <c r="M235" s="280" t="s">
        <v>298</v>
      </c>
      <c r="N235" s="280"/>
      <c r="O235" s="280"/>
      <c r="P235" s="280"/>
      <c r="Q235" s="280"/>
      <c r="R235" s="280"/>
      <c r="S235" s="280"/>
    </row>
    <row r="236" spans="1:19" ht="85" outlineLevel="1">
      <c r="A236" s="245" t="s">
        <v>357</v>
      </c>
      <c r="B236" s="246" t="s">
        <v>111</v>
      </c>
      <c r="C236" s="247" t="s">
        <v>112</v>
      </c>
      <c r="D236" s="248" t="s">
        <v>1035</v>
      </c>
      <c r="E236" s="249" t="s">
        <v>1036</v>
      </c>
      <c r="F236" s="249" t="s">
        <v>303</v>
      </c>
      <c r="G236" s="247" t="s">
        <v>340</v>
      </c>
      <c r="H236" s="247" t="s">
        <v>1037</v>
      </c>
      <c r="I236" s="247" t="s">
        <v>1038</v>
      </c>
      <c r="J236" s="247" t="s">
        <v>869</v>
      </c>
      <c r="K236" s="282">
        <v>8</v>
      </c>
      <c r="L236" s="282">
        <v>13</v>
      </c>
      <c r="M236" s="282" t="s">
        <v>298</v>
      </c>
      <c r="N236" s="282"/>
      <c r="O236" s="282"/>
      <c r="P236" s="282"/>
      <c r="Q236" s="282"/>
      <c r="R236" s="282"/>
      <c r="S236" s="282"/>
    </row>
    <row r="237" spans="1:19" s="92" customFormat="1" ht="85" outlineLevel="1">
      <c r="A237" s="245" t="s">
        <v>357</v>
      </c>
      <c r="B237" s="248" t="s">
        <v>111</v>
      </c>
      <c r="C237" s="247" t="s">
        <v>112</v>
      </c>
      <c r="D237" s="248" t="s">
        <v>1039</v>
      </c>
      <c r="E237" s="249" t="s">
        <v>1036</v>
      </c>
      <c r="F237" s="249" t="s">
        <v>303</v>
      </c>
      <c r="G237" s="248" t="s">
        <v>340</v>
      </c>
      <c r="H237" s="248" t="s">
        <v>1037</v>
      </c>
      <c r="I237" s="248" t="s">
        <v>1040</v>
      </c>
      <c r="J237" s="247" t="s">
        <v>869</v>
      </c>
      <c r="K237" s="283">
        <f>8*5</f>
        <v>40</v>
      </c>
      <c r="L237" s="283">
        <v>6</v>
      </c>
      <c r="M237" s="282" t="s">
        <v>298</v>
      </c>
      <c r="N237" s="282"/>
      <c r="O237" s="282"/>
      <c r="P237" s="282"/>
      <c r="Q237" s="282"/>
      <c r="R237" s="282"/>
      <c r="S237" s="282"/>
    </row>
    <row r="238" spans="1:19" s="92" customFormat="1" ht="85" outlineLevel="1">
      <c r="A238" s="245" t="s">
        <v>357</v>
      </c>
      <c r="B238" s="247" t="s">
        <v>111</v>
      </c>
      <c r="C238" s="247" t="s">
        <v>112</v>
      </c>
      <c r="D238" s="248" t="s">
        <v>1041</v>
      </c>
      <c r="E238" s="249" t="s">
        <v>1036</v>
      </c>
      <c r="F238" s="249" t="s">
        <v>303</v>
      </c>
      <c r="G238" s="248" t="s">
        <v>322</v>
      </c>
      <c r="H238" s="248" t="s">
        <v>1042</v>
      </c>
      <c r="I238" s="248" t="s">
        <v>1040</v>
      </c>
      <c r="J238" s="247" t="s">
        <v>869</v>
      </c>
      <c r="K238" s="283">
        <v>8</v>
      </c>
      <c r="L238" s="283">
        <v>6</v>
      </c>
      <c r="M238" s="282" t="s">
        <v>298</v>
      </c>
      <c r="N238" s="282"/>
      <c r="O238" s="282"/>
      <c r="P238" s="282"/>
      <c r="Q238" s="282"/>
      <c r="R238" s="282"/>
      <c r="S238" s="282"/>
    </row>
    <row r="239" spans="1:19" s="92" customFormat="1" ht="89.25" customHeight="1" outlineLevel="1">
      <c r="A239" s="234" t="s">
        <v>357</v>
      </c>
      <c r="B239" s="243" t="s">
        <v>329</v>
      </c>
      <c r="C239" s="243" t="s">
        <v>330</v>
      </c>
      <c r="D239" s="242" t="s">
        <v>1043</v>
      </c>
      <c r="E239" s="244" t="s">
        <v>1044</v>
      </c>
      <c r="F239" s="244" t="s">
        <v>303</v>
      </c>
      <c r="G239" s="242" t="s">
        <v>340</v>
      </c>
      <c r="H239" s="242" t="s">
        <v>1037</v>
      </c>
      <c r="I239" s="243" t="s">
        <v>1045</v>
      </c>
      <c r="J239" s="280" t="s">
        <v>869</v>
      </c>
      <c r="K239" s="281">
        <v>30</v>
      </c>
      <c r="L239" s="281">
        <v>1</v>
      </c>
      <c r="M239" s="281" t="s">
        <v>298</v>
      </c>
      <c r="N239" s="281"/>
      <c r="O239" s="281"/>
      <c r="P239" s="281"/>
      <c r="Q239" s="281"/>
      <c r="R239" s="281"/>
      <c r="S239" s="281"/>
    </row>
    <row r="240" spans="1:19" ht="81" customHeight="1" outlineLevel="1">
      <c r="A240" s="234" t="s">
        <v>357</v>
      </c>
      <c r="B240" s="243" t="s">
        <v>329</v>
      </c>
      <c r="C240" s="243" t="s">
        <v>330</v>
      </c>
      <c r="D240" s="242" t="s">
        <v>1046</v>
      </c>
      <c r="E240" s="244" t="s">
        <v>1044</v>
      </c>
      <c r="F240" s="244" t="s">
        <v>303</v>
      </c>
      <c r="G240" s="242" t="s">
        <v>340</v>
      </c>
      <c r="H240" s="242" t="s">
        <v>1037</v>
      </c>
      <c r="I240" s="243" t="s">
        <v>1047</v>
      </c>
      <c r="J240" s="280" t="s">
        <v>869</v>
      </c>
      <c r="K240" s="281">
        <f>10*8+15*8</f>
        <v>200</v>
      </c>
      <c r="L240" s="281">
        <f>7+10</f>
        <v>17</v>
      </c>
      <c r="M240" s="281" t="s">
        <v>298</v>
      </c>
      <c r="N240" s="281"/>
      <c r="O240" s="281"/>
      <c r="P240" s="281"/>
      <c r="Q240" s="281"/>
      <c r="R240" s="281"/>
      <c r="S240" s="281"/>
    </row>
    <row r="241" spans="1:19" ht="81.75" customHeight="1" outlineLevel="1">
      <c r="A241" s="234" t="s">
        <v>357</v>
      </c>
      <c r="B241" s="243" t="s">
        <v>329</v>
      </c>
      <c r="C241" s="243" t="s">
        <v>330</v>
      </c>
      <c r="D241" s="242" t="s">
        <v>1048</v>
      </c>
      <c r="E241" s="244" t="s">
        <v>1044</v>
      </c>
      <c r="F241" s="403" t="s">
        <v>1322</v>
      </c>
      <c r="G241" s="242" t="s">
        <v>340</v>
      </c>
      <c r="H241" s="242" t="s">
        <v>1037</v>
      </c>
      <c r="I241" s="243" t="s">
        <v>350</v>
      </c>
      <c r="J241" s="280" t="s">
        <v>869</v>
      </c>
      <c r="K241" s="281">
        <v>4</v>
      </c>
      <c r="L241" s="281">
        <f>7+10</f>
        <v>17</v>
      </c>
      <c r="M241" s="281" t="s">
        <v>298</v>
      </c>
      <c r="N241" s="281"/>
      <c r="O241" s="281"/>
      <c r="P241" s="281"/>
      <c r="Q241" s="281"/>
      <c r="R241" s="281"/>
      <c r="S241" s="281"/>
    </row>
    <row r="242" spans="1:19" ht="81" customHeight="1" outlineLevel="1">
      <c r="A242" s="234" t="s">
        <v>357</v>
      </c>
      <c r="B242" s="243" t="s">
        <v>329</v>
      </c>
      <c r="C242" s="243" t="s">
        <v>330</v>
      </c>
      <c r="D242" s="242" t="s">
        <v>1049</v>
      </c>
      <c r="E242" s="244" t="s">
        <v>1044</v>
      </c>
      <c r="F242" s="244" t="s">
        <v>303</v>
      </c>
      <c r="G242" s="242" t="s">
        <v>340</v>
      </c>
      <c r="H242" s="242" t="s">
        <v>1037</v>
      </c>
      <c r="I242" s="243" t="s">
        <v>1050</v>
      </c>
      <c r="J242" s="280" t="s">
        <v>869</v>
      </c>
      <c r="K242" s="281">
        <v>2</v>
      </c>
      <c r="L242" s="281">
        <f>(7+10)*2*4</f>
        <v>136</v>
      </c>
      <c r="M242" s="281" t="s">
        <v>298</v>
      </c>
      <c r="N242" s="281"/>
      <c r="O242" s="281"/>
      <c r="P242" s="281"/>
      <c r="Q242" s="281"/>
      <c r="R242" s="281"/>
      <c r="S242" s="281"/>
    </row>
    <row r="243" spans="1:19" ht="34">
      <c r="A243" s="250" t="s">
        <v>357</v>
      </c>
      <c r="B243" s="251" t="s">
        <v>137</v>
      </c>
      <c r="C243" s="252" t="s">
        <v>138</v>
      </c>
      <c r="D243" s="251" t="s">
        <v>1051</v>
      </c>
      <c r="E243" s="255" t="s">
        <v>812</v>
      </c>
      <c r="F243" s="254" t="s">
        <v>303</v>
      </c>
      <c r="G243" s="255" t="s">
        <v>315</v>
      </c>
      <c r="H243" s="255" t="s">
        <v>316</v>
      </c>
      <c r="I243" s="255" t="s">
        <v>1052</v>
      </c>
      <c r="J243" s="284" t="s">
        <v>869</v>
      </c>
      <c r="K243" s="285">
        <f>SUM(K244:K246)</f>
        <v>24</v>
      </c>
      <c r="L243" s="285">
        <f>SUM(L244:L246)</f>
        <v>12</v>
      </c>
      <c r="M243" s="285" t="s">
        <v>308</v>
      </c>
      <c r="N243" s="285"/>
      <c r="O243" s="285"/>
      <c r="P243" s="285"/>
      <c r="Q243" s="285"/>
      <c r="R243" s="285"/>
      <c r="S243" s="285"/>
    </row>
    <row r="244" spans="1:19" ht="34" outlineLevel="1">
      <c r="A244" s="250" t="s">
        <v>357</v>
      </c>
      <c r="B244" s="256" t="s">
        <v>140</v>
      </c>
      <c r="C244" s="256" t="s">
        <v>141</v>
      </c>
      <c r="D244" s="257" t="s">
        <v>1053</v>
      </c>
      <c r="E244" s="255" t="s">
        <v>812</v>
      </c>
      <c r="F244" s="254" t="s">
        <v>303</v>
      </c>
      <c r="G244" s="253" t="s">
        <v>315</v>
      </c>
      <c r="H244" s="253" t="s">
        <v>316</v>
      </c>
      <c r="I244" s="253" t="s">
        <v>1052</v>
      </c>
      <c r="J244" s="286" t="s">
        <v>869</v>
      </c>
      <c r="K244" s="287">
        <v>8</v>
      </c>
      <c r="L244" s="287">
        <v>4</v>
      </c>
      <c r="M244" s="287" t="s">
        <v>308</v>
      </c>
      <c r="N244" s="287"/>
      <c r="O244" s="287"/>
      <c r="P244" s="285"/>
      <c r="Q244" s="285"/>
      <c r="R244" s="285"/>
      <c r="S244" s="285"/>
    </row>
    <row r="245" spans="1:19" ht="85" outlineLevel="1">
      <c r="A245" s="250" t="s">
        <v>357</v>
      </c>
      <c r="B245" s="256" t="s">
        <v>143</v>
      </c>
      <c r="C245" s="256" t="s">
        <v>144</v>
      </c>
      <c r="D245" s="257" t="s">
        <v>1054</v>
      </c>
      <c r="E245" s="262" t="s">
        <v>1055</v>
      </c>
      <c r="F245" s="254" t="s">
        <v>303</v>
      </c>
      <c r="G245" s="253" t="s">
        <v>315</v>
      </c>
      <c r="H245" s="253" t="s">
        <v>316</v>
      </c>
      <c r="I245" s="253" t="s">
        <v>1052</v>
      </c>
      <c r="J245" s="286" t="s">
        <v>869</v>
      </c>
      <c r="K245" s="287">
        <v>8</v>
      </c>
      <c r="L245" s="287">
        <v>4</v>
      </c>
      <c r="M245" s="287" t="s">
        <v>308</v>
      </c>
      <c r="N245" s="287"/>
      <c r="O245" s="287"/>
      <c r="P245" s="285"/>
      <c r="Q245" s="285"/>
      <c r="R245" s="285"/>
      <c r="S245" s="285"/>
    </row>
    <row r="246" spans="1:19" ht="102" outlineLevel="1">
      <c r="A246" s="250" t="s">
        <v>357</v>
      </c>
      <c r="B246" s="256" t="s">
        <v>146</v>
      </c>
      <c r="C246" s="256" t="s">
        <v>147</v>
      </c>
      <c r="D246" s="257" t="s">
        <v>1056</v>
      </c>
      <c r="E246" s="391" t="s">
        <v>979</v>
      </c>
      <c r="F246" s="254" t="s">
        <v>303</v>
      </c>
      <c r="G246" s="253" t="s">
        <v>315</v>
      </c>
      <c r="H246" s="253" t="s">
        <v>316</v>
      </c>
      <c r="I246" s="253" t="s">
        <v>1052</v>
      </c>
      <c r="J246" s="286" t="s">
        <v>869</v>
      </c>
      <c r="K246" s="287">
        <v>8</v>
      </c>
      <c r="L246" s="287">
        <v>4</v>
      </c>
      <c r="M246" s="287" t="s">
        <v>308</v>
      </c>
      <c r="N246" s="287"/>
      <c r="O246" s="287"/>
      <c r="P246" s="285"/>
      <c r="Q246" s="285"/>
      <c r="R246" s="285"/>
      <c r="S246" s="285"/>
    </row>
    <row r="247" spans="1:19" ht="85">
      <c r="A247" s="258" t="s">
        <v>357</v>
      </c>
      <c r="B247" s="259" t="s">
        <v>150</v>
      </c>
      <c r="C247" s="260" t="s">
        <v>1057</v>
      </c>
      <c r="D247" s="261" t="s">
        <v>1058</v>
      </c>
      <c r="E247" s="255" t="s">
        <v>486</v>
      </c>
      <c r="F247" s="262" t="s">
        <v>303</v>
      </c>
      <c r="G247" s="255" t="s">
        <v>315</v>
      </c>
      <c r="H247" s="255" t="s">
        <v>316</v>
      </c>
      <c r="I247" s="255" t="s">
        <v>1052</v>
      </c>
      <c r="J247" s="284" t="s">
        <v>869</v>
      </c>
      <c r="K247" s="285">
        <f>SUM(K248:K249)</f>
        <v>6</v>
      </c>
      <c r="L247" s="285">
        <f>SUM(L248:L249)</f>
        <v>436</v>
      </c>
      <c r="M247" s="285" t="s">
        <v>308</v>
      </c>
      <c r="N247" s="285"/>
      <c r="O247" s="285"/>
      <c r="P247" s="285"/>
      <c r="Q247" s="285"/>
      <c r="R247" s="285"/>
      <c r="S247" s="285"/>
    </row>
    <row r="248" spans="1:19" ht="34" outlineLevel="1">
      <c r="A248" s="258" t="s">
        <v>357</v>
      </c>
      <c r="B248" s="263" t="s">
        <v>153</v>
      </c>
      <c r="C248" s="263" t="s">
        <v>154</v>
      </c>
      <c r="D248" s="264" t="s">
        <v>1059</v>
      </c>
      <c r="E248" s="255" t="s">
        <v>486</v>
      </c>
      <c r="F248" s="254" t="s">
        <v>303</v>
      </c>
      <c r="G248" s="255" t="s">
        <v>315</v>
      </c>
      <c r="H248" s="253" t="s">
        <v>316</v>
      </c>
      <c r="I248" s="253" t="s">
        <v>1052</v>
      </c>
      <c r="J248" s="286" t="s">
        <v>869</v>
      </c>
      <c r="K248" s="287">
        <v>4</v>
      </c>
      <c r="L248" s="287">
        <v>20</v>
      </c>
      <c r="M248" s="287" t="s">
        <v>308</v>
      </c>
      <c r="N248" s="287"/>
      <c r="O248" s="287"/>
      <c r="P248" s="285"/>
      <c r="Q248" s="285"/>
      <c r="R248" s="285"/>
      <c r="S248" s="285"/>
    </row>
    <row r="249" spans="1:19" ht="34" outlineLevel="1">
      <c r="A249" s="258" t="s">
        <v>357</v>
      </c>
      <c r="B249" s="263" t="s">
        <v>156</v>
      </c>
      <c r="C249" s="263" t="s">
        <v>157</v>
      </c>
      <c r="D249" s="264" t="s">
        <v>1060</v>
      </c>
      <c r="E249" s="262" t="s">
        <v>1061</v>
      </c>
      <c r="F249" s="254" t="s">
        <v>303</v>
      </c>
      <c r="G249" s="255" t="s">
        <v>315</v>
      </c>
      <c r="H249" s="253" t="s">
        <v>316</v>
      </c>
      <c r="I249" s="253" t="s">
        <v>1052</v>
      </c>
      <c r="J249" s="286" t="s">
        <v>869</v>
      </c>
      <c r="K249" s="287">
        <v>2</v>
      </c>
      <c r="L249" s="287">
        <v>416</v>
      </c>
      <c r="M249" s="287" t="s">
        <v>308</v>
      </c>
      <c r="N249" s="287"/>
      <c r="O249" s="287"/>
      <c r="P249" s="285"/>
      <c r="Q249" s="285"/>
      <c r="R249" s="285"/>
      <c r="S249" s="285"/>
    </row>
    <row r="250" spans="1:19" ht="61.5" customHeight="1">
      <c r="A250" s="265" t="s">
        <v>357</v>
      </c>
      <c r="B250" s="266" t="s">
        <v>160</v>
      </c>
      <c r="C250" s="266" t="s">
        <v>161</v>
      </c>
      <c r="D250" s="267" t="s">
        <v>1062</v>
      </c>
      <c r="E250" s="404" t="s">
        <v>1063</v>
      </c>
      <c r="F250" s="404" t="s">
        <v>303</v>
      </c>
      <c r="G250" s="405" t="s">
        <v>315</v>
      </c>
      <c r="H250" s="405" t="s">
        <v>316</v>
      </c>
      <c r="I250" s="405" t="s">
        <v>1052</v>
      </c>
      <c r="J250" s="288" t="s">
        <v>869</v>
      </c>
      <c r="K250" s="406">
        <f>SUM(K251:K253)</f>
        <v>10.5</v>
      </c>
      <c r="L250" s="406">
        <f>SUM(L251:L253)</f>
        <v>282</v>
      </c>
      <c r="M250" s="406" t="s">
        <v>308</v>
      </c>
      <c r="N250" s="406"/>
      <c r="O250" s="406"/>
      <c r="P250" s="406"/>
      <c r="Q250" s="406"/>
      <c r="R250" s="406"/>
      <c r="S250" s="406"/>
    </row>
    <row r="251" spans="1:19" ht="56.25" customHeight="1" outlineLevel="1">
      <c r="A251" s="265" t="s">
        <v>357</v>
      </c>
      <c r="B251" s="268" t="s">
        <v>163</v>
      </c>
      <c r="C251" s="268" t="s">
        <v>164</v>
      </c>
      <c r="D251" s="269" t="s">
        <v>1064</v>
      </c>
      <c r="E251" s="407" t="s">
        <v>1063</v>
      </c>
      <c r="F251" s="407" t="s">
        <v>303</v>
      </c>
      <c r="G251" s="408" t="s">
        <v>315</v>
      </c>
      <c r="H251" s="408" t="s">
        <v>316</v>
      </c>
      <c r="I251" s="408" t="s">
        <v>1052</v>
      </c>
      <c r="J251" s="289" t="s">
        <v>869</v>
      </c>
      <c r="K251" s="409">
        <v>8</v>
      </c>
      <c r="L251" s="409">
        <v>12</v>
      </c>
      <c r="M251" s="409" t="s">
        <v>308</v>
      </c>
      <c r="N251" s="409"/>
      <c r="O251" s="409"/>
      <c r="P251" s="406"/>
      <c r="Q251" s="406"/>
      <c r="R251" s="406"/>
      <c r="S251" s="406"/>
    </row>
    <row r="252" spans="1:19" ht="51" outlineLevel="1">
      <c r="A252" s="265" t="s">
        <v>357</v>
      </c>
      <c r="B252" s="268" t="s">
        <v>166</v>
      </c>
      <c r="C252" s="268" t="s">
        <v>167</v>
      </c>
      <c r="D252" s="269" t="s">
        <v>1065</v>
      </c>
      <c r="E252" s="407" t="s">
        <v>862</v>
      </c>
      <c r="F252" s="407" t="s">
        <v>303</v>
      </c>
      <c r="G252" s="408" t="s">
        <v>315</v>
      </c>
      <c r="H252" s="408" t="s">
        <v>316</v>
      </c>
      <c r="I252" s="408" t="s">
        <v>1052</v>
      </c>
      <c r="J252" s="289" t="s">
        <v>869</v>
      </c>
      <c r="K252" s="409">
        <v>2</v>
      </c>
      <c r="L252" s="409">
        <v>120</v>
      </c>
      <c r="M252" s="409" t="s">
        <v>308</v>
      </c>
      <c r="N252" s="409"/>
      <c r="O252" s="409"/>
      <c r="P252" s="406"/>
      <c r="Q252" s="406"/>
      <c r="R252" s="406"/>
      <c r="S252" s="406"/>
    </row>
    <row r="253" spans="1:19" ht="34" outlineLevel="1">
      <c r="A253" s="265" t="s">
        <v>357</v>
      </c>
      <c r="B253" s="268" t="s">
        <v>160</v>
      </c>
      <c r="C253" s="268" t="s">
        <v>161</v>
      </c>
      <c r="D253" s="269" t="s">
        <v>1066</v>
      </c>
      <c r="E253" s="407" t="s">
        <v>862</v>
      </c>
      <c r="F253" s="407" t="s">
        <v>303</v>
      </c>
      <c r="G253" s="408" t="s">
        <v>315</v>
      </c>
      <c r="H253" s="408" t="s">
        <v>316</v>
      </c>
      <c r="I253" s="408" t="s">
        <v>1052</v>
      </c>
      <c r="J253" s="289" t="s">
        <v>869</v>
      </c>
      <c r="K253" s="409">
        <v>0.5</v>
      </c>
      <c r="L253" s="409">
        <v>150</v>
      </c>
      <c r="M253" s="409" t="s">
        <v>308</v>
      </c>
      <c r="N253" s="409"/>
      <c r="O253" s="409"/>
      <c r="P253" s="406"/>
      <c r="Q253" s="406"/>
      <c r="R253" s="406"/>
      <c r="S253" s="406"/>
    </row>
    <row r="260" spans="10:10">
      <c r="J260" s="291"/>
    </row>
    <row r="261" spans="10:10">
      <c r="J261" s="291"/>
    </row>
    <row r="262" spans="10:10">
      <c r="J262" s="291"/>
    </row>
    <row r="263" spans="10:10">
      <c r="J263" s="291"/>
    </row>
    <row r="264" spans="10:10">
      <c r="J264" s="291"/>
    </row>
    <row r="265" spans="10:10">
      <c r="J265" s="291"/>
    </row>
    <row r="266" spans="10:10">
      <c r="J266" s="291"/>
    </row>
    <row r="267" spans="10:10">
      <c r="J267" s="291"/>
    </row>
    <row r="268" spans="10:10">
      <c r="J268" s="291"/>
    </row>
    <row r="269" spans="10:10">
      <c r="J269" s="291"/>
    </row>
    <row r="270" spans="10:10">
      <c r="J270" s="291"/>
    </row>
    <row r="271" spans="10:10">
      <c r="J271" s="291"/>
    </row>
    <row r="272" spans="10:10">
      <c r="J272" s="291"/>
    </row>
    <row r="273" spans="10:10">
      <c r="J273" s="291"/>
    </row>
    <row r="274" spans="10:10">
      <c r="J274" s="291"/>
    </row>
    <row r="275" spans="10:10">
      <c r="J275" s="291"/>
    </row>
    <row r="276" spans="10:10">
      <c r="J276" s="291"/>
    </row>
    <row r="277" spans="10:10">
      <c r="J277" s="291"/>
    </row>
    <row r="278" spans="10:10">
      <c r="J278" s="291"/>
    </row>
    <row r="279" spans="10:10">
      <c r="J279" s="291"/>
    </row>
    <row r="280" spans="10:10">
      <c r="J280" s="291"/>
    </row>
    <row r="281" spans="10:10">
      <c r="J281" s="291"/>
    </row>
    <row r="282" spans="10:10">
      <c r="J282" s="291"/>
    </row>
    <row r="283" spans="10:10">
      <c r="J283" s="291"/>
    </row>
    <row r="284" spans="10:10">
      <c r="J284" s="291"/>
    </row>
    <row r="285" spans="10:10">
      <c r="J285" s="291"/>
    </row>
    <row r="286" spans="10:10">
      <c r="J286" s="291"/>
    </row>
    <row r="287" spans="10:10">
      <c r="J287" s="291"/>
    </row>
    <row r="288" spans="10:10">
      <c r="J288" s="291"/>
    </row>
    <row r="289" spans="10:10">
      <c r="J289" s="291"/>
    </row>
    <row r="290" spans="10:10">
      <c r="J290" s="291"/>
    </row>
    <row r="291" spans="10:10">
      <c r="J291" s="291"/>
    </row>
    <row r="292" spans="10:10">
      <c r="J292" s="291"/>
    </row>
    <row r="293" spans="10:10">
      <c r="J293" s="291"/>
    </row>
    <row r="294" spans="10:10">
      <c r="J294" s="291"/>
    </row>
    <row r="295" spans="10:10">
      <c r="J295" s="291"/>
    </row>
    <row r="296" spans="10:10">
      <c r="J296" s="291"/>
    </row>
    <row r="297" spans="10:10">
      <c r="J297" s="291"/>
    </row>
    <row r="298" spans="10:10">
      <c r="J298" s="291"/>
    </row>
    <row r="299" spans="10:10">
      <c r="J299" s="291"/>
    </row>
    <row r="300" spans="10:10">
      <c r="J300" s="291"/>
    </row>
    <row r="301" spans="10:10">
      <c r="J301" s="291"/>
    </row>
    <row r="302" spans="10:10">
      <c r="J302" s="291"/>
    </row>
    <row r="303" spans="10:10">
      <c r="J303" s="291"/>
    </row>
    <row r="304" spans="10:10">
      <c r="J304" s="291"/>
    </row>
    <row r="305" spans="10:10">
      <c r="J305" s="291"/>
    </row>
    <row r="306" spans="10:10">
      <c r="J306" s="291"/>
    </row>
    <row r="307" spans="10:10">
      <c r="J307" s="291"/>
    </row>
    <row r="308" spans="10:10">
      <c r="J308" s="291"/>
    </row>
    <row r="309" spans="10:10">
      <c r="J309" s="291"/>
    </row>
    <row r="310" spans="10:10">
      <c r="J310" s="291"/>
    </row>
    <row r="311" spans="10:10">
      <c r="J311" s="291"/>
    </row>
    <row r="312" spans="10:10">
      <c r="J312" s="291"/>
    </row>
    <row r="313" spans="10:10">
      <c r="J313" s="291"/>
    </row>
    <row r="314" spans="10:10">
      <c r="J314" s="291"/>
    </row>
    <row r="315" spans="10:10">
      <c r="J315" s="291"/>
    </row>
    <row r="316" spans="10:10">
      <c r="J316" s="291"/>
    </row>
    <row r="317" spans="10:10">
      <c r="J317" s="291"/>
    </row>
    <row r="318" spans="10:10">
      <c r="J318" s="291"/>
    </row>
    <row r="319" spans="10:10">
      <c r="J319" s="291"/>
    </row>
    <row r="320" spans="10:10">
      <c r="J320" s="291"/>
    </row>
    <row r="321" spans="10:10">
      <c r="J321" s="291"/>
    </row>
    <row r="322" spans="10:10">
      <c r="J322" s="291"/>
    </row>
    <row r="323" spans="10:10">
      <c r="J323" s="291"/>
    </row>
    <row r="324" spans="10:10">
      <c r="J324" s="291"/>
    </row>
    <row r="325" spans="10:10">
      <c r="J325" s="291"/>
    </row>
    <row r="326" spans="10:10">
      <c r="J326" s="291"/>
    </row>
    <row r="327" spans="10:10">
      <c r="J327" s="291"/>
    </row>
    <row r="328" spans="10:10">
      <c r="J328" s="291"/>
    </row>
    <row r="329" spans="10:10">
      <c r="J329" s="291"/>
    </row>
    <row r="330" spans="10:10">
      <c r="J330" s="291"/>
    </row>
    <row r="331" spans="10:10">
      <c r="J331" s="291"/>
    </row>
    <row r="332" spans="10:10">
      <c r="J332" s="291"/>
    </row>
    <row r="333" spans="10:10">
      <c r="J333" s="291"/>
    </row>
    <row r="334" spans="10:10">
      <c r="J334" s="291"/>
    </row>
    <row r="335" spans="10:10">
      <c r="J335" s="291"/>
    </row>
    <row r="336" spans="10:10">
      <c r="J336" s="291"/>
    </row>
    <row r="337" spans="10:10">
      <c r="J337" s="291"/>
    </row>
    <row r="338" spans="10:10">
      <c r="J338" s="291"/>
    </row>
    <row r="339" spans="10:10">
      <c r="J339" s="291"/>
    </row>
    <row r="340" spans="10:10">
      <c r="J340" s="291"/>
    </row>
    <row r="341" spans="10:10">
      <c r="J341" s="291"/>
    </row>
    <row r="342" spans="10:10">
      <c r="J342" s="291"/>
    </row>
    <row r="343" spans="10:10">
      <c r="J343" s="291"/>
    </row>
    <row r="344" spans="10:10">
      <c r="J344" s="291"/>
    </row>
    <row r="345" spans="10:10">
      <c r="J345" s="291"/>
    </row>
    <row r="346" spans="10:10">
      <c r="J346" s="291"/>
    </row>
    <row r="347" spans="10:10">
      <c r="J347" s="291"/>
    </row>
    <row r="348" spans="10:10">
      <c r="J348" s="291"/>
    </row>
    <row r="349" spans="10:10">
      <c r="J349" s="291"/>
    </row>
    <row r="350" spans="10:10">
      <c r="J350" s="291"/>
    </row>
    <row r="351" spans="10:10">
      <c r="J351" s="291"/>
    </row>
    <row r="352" spans="10:10">
      <c r="J352" s="291"/>
    </row>
    <row r="353" spans="10:10">
      <c r="J353" s="291"/>
    </row>
    <row r="354" spans="10:10">
      <c r="J354" s="291"/>
    </row>
    <row r="355" spans="10:10">
      <c r="J355" s="291"/>
    </row>
    <row r="356" spans="10:10">
      <c r="J356" s="291"/>
    </row>
    <row r="357" spans="10:10">
      <c r="J357" s="291"/>
    </row>
    <row r="358" spans="10:10">
      <c r="J358" s="291"/>
    </row>
    <row r="359" spans="10:10">
      <c r="J359" s="291"/>
    </row>
    <row r="360" spans="10:10">
      <c r="J360" s="291"/>
    </row>
    <row r="361" spans="10:10">
      <c r="J361" s="291"/>
    </row>
    <row r="362" spans="10:10">
      <c r="J362" s="291"/>
    </row>
    <row r="363" spans="10:10">
      <c r="J363" s="291"/>
    </row>
    <row r="364" spans="10:10">
      <c r="J364" s="291"/>
    </row>
    <row r="365" spans="10:10">
      <c r="J365" s="291"/>
    </row>
    <row r="366" spans="10:10">
      <c r="J366" s="291"/>
    </row>
    <row r="367" spans="10:10">
      <c r="J367" s="291"/>
    </row>
    <row r="368" spans="10:10">
      <c r="J368" s="291"/>
    </row>
    <row r="369" spans="10:10">
      <c r="J369" s="291"/>
    </row>
    <row r="370" spans="10:10">
      <c r="J370" s="291"/>
    </row>
    <row r="371" spans="10:10">
      <c r="J371" s="291"/>
    </row>
    <row r="372" spans="10:10">
      <c r="J372" s="291"/>
    </row>
    <row r="373" spans="10:10">
      <c r="J373" s="291"/>
    </row>
    <row r="374" spans="10:10">
      <c r="J374" s="291"/>
    </row>
    <row r="375" spans="10:10">
      <c r="J375" s="291"/>
    </row>
    <row r="376" spans="10:10">
      <c r="J376" s="291"/>
    </row>
    <row r="377" spans="10:10">
      <c r="J377" s="291"/>
    </row>
    <row r="378" spans="10:10">
      <c r="J378" s="291"/>
    </row>
    <row r="379" spans="10:10">
      <c r="J379" s="291"/>
    </row>
    <row r="380" spans="10:10">
      <c r="J380" s="291"/>
    </row>
    <row r="381" spans="10:10">
      <c r="J381" s="291"/>
    </row>
    <row r="382" spans="10:10">
      <c r="J382" s="291"/>
    </row>
    <row r="383" spans="10:10">
      <c r="J383" s="291"/>
    </row>
    <row r="384" spans="10:10">
      <c r="J384" s="291"/>
    </row>
    <row r="385" spans="10:10">
      <c r="J385" s="291"/>
    </row>
    <row r="386" spans="10:10">
      <c r="J386" s="291"/>
    </row>
    <row r="387" spans="10:10">
      <c r="J387" s="291"/>
    </row>
    <row r="388" spans="10:10">
      <c r="J388" s="291"/>
    </row>
    <row r="389" spans="10:10">
      <c r="J389" s="291"/>
    </row>
    <row r="390" spans="10:10">
      <c r="J390" s="291"/>
    </row>
    <row r="391" spans="10:10">
      <c r="J391" s="291"/>
    </row>
    <row r="392" spans="10:10">
      <c r="J392" s="291"/>
    </row>
    <row r="393" spans="10:10">
      <c r="J393" s="291"/>
    </row>
    <row r="394" spans="10:10">
      <c r="J394" s="291"/>
    </row>
    <row r="395" spans="10:10">
      <c r="J395" s="291"/>
    </row>
    <row r="396" spans="10:10">
      <c r="J396" s="291"/>
    </row>
    <row r="397" spans="10:10">
      <c r="J397" s="291"/>
    </row>
    <row r="398" spans="10:10">
      <c r="J398" s="291"/>
    </row>
    <row r="399" spans="10:10">
      <c r="J399" s="291"/>
    </row>
    <row r="400" spans="10:10">
      <c r="J400" s="291"/>
    </row>
    <row r="401" spans="10:10">
      <c r="J401" s="291"/>
    </row>
    <row r="402" spans="10:10">
      <c r="J402" s="291"/>
    </row>
    <row r="403" spans="10:10">
      <c r="J403" s="291"/>
    </row>
    <row r="404" spans="10:10">
      <c r="J404" s="291"/>
    </row>
    <row r="405" spans="10:10">
      <c r="J405" s="291"/>
    </row>
    <row r="406" spans="10:10">
      <c r="J406" s="291"/>
    </row>
    <row r="407" spans="10:10">
      <c r="J407" s="291"/>
    </row>
    <row r="408" spans="10:10">
      <c r="J408" s="291"/>
    </row>
    <row r="409" spans="10:10">
      <c r="J409" s="291"/>
    </row>
    <row r="410" spans="10:10">
      <c r="J410" s="291"/>
    </row>
    <row r="411" spans="10:10">
      <c r="J411" s="291"/>
    </row>
    <row r="412" spans="10:10">
      <c r="J412" s="291"/>
    </row>
    <row r="413" spans="10:10">
      <c r="J413" s="291"/>
    </row>
    <row r="414" spans="10:10">
      <c r="J414" s="291"/>
    </row>
    <row r="415" spans="10:10">
      <c r="J415" s="291"/>
    </row>
    <row r="416" spans="10:10">
      <c r="J416" s="291"/>
    </row>
    <row r="417" spans="10:10">
      <c r="J417" s="291"/>
    </row>
    <row r="418" spans="10:10">
      <c r="J418" s="291"/>
    </row>
    <row r="419" spans="10:10">
      <c r="J419" s="291"/>
    </row>
    <row r="420" spans="10:10">
      <c r="J420" s="291"/>
    </row>
    <row r="421" spans="10:10">
      <c r="J421" s="291"/>
    </row>
    <row r="422" spans="10:10">
      <c r="J422" s="291"/>
    </row>
    <row r="423" spans="10:10">
      <c r="J423" s="291"/>
    </row>
    <row r="424" spans="10:10">
      <c r="J424" s="291"/>
    </row>
    <row r="425" spans="10:10">
      <c r="J425" s="291"/>
    </row>
    <row r="426" spans="10:10">
      <c r="J426" s="291"/>
    </row>
    <row r="427" spans="10:10">
      <c r="J427" s="291"/>
    </row>
    <row r="428" spans="10:10">
      <c r="J428" s="291"/>
    </row>
    <row r="429" spans="10:10">
      <c r="J429" s="291"/>
    </row>
    <row r="430" spans="10:10">
      <c r="J430" s="291"/>
    </row>
    <row r="431" spans="10:10">
      <c r="J431" s="291"/>
    </row>
    <row r="432" spans="10:10">
      <c r="J432" s="291"/>
    </row>
    <row r="433" spans="10:10">
      <c r="J433" s="291"/>
    </row>
    <row r="434" spans="10:10">
      <c r="J434" s="291"/>
    </row>
    <row r="435" spans="10:10">
      <c r="J435" s="291"/>
    </row>
    <row r="436" spans="10:10">
      <c r="J436" s="291"/>
    </row>
    <row r="437" spans="10:10">
      <c r="J437" s="291"/>
    </row>
    <row r="438" spans="10:10">
      <c r="J438" s="291"/>
    </row>
    <row r="439" spans="10:10">
      <c r="J439" s="291"/>
    </row>
    <row r="440" spans="10:10">
      <c r="J440" s="291"/>
    </row>
    <row r="441" spans="10:10">
      <c r="J441" s="291"/>
    </row>
    <row r="442" spans="10:10">
      <c r="J442" s="291"/>
    </row>
    <row r="443" spans="10:10">
      <c r="J443" s="291"/>
    </row>
    <row r="444" spans="10:10">
      <c r="J444" s="291"/>
    </row>
    <row r="445" spans="10:10">
      <c r="J445" s="291"/>
    </row>
    <row r="446" spans="10:10">
      <c r="J446" s="291"/>
    </row>
    <row r="447" spans="10:10">
      <c r="J447" s="291"/>
    </row>
    <row r="448" spans="10:10">
      <c r="J448" s="291"/>
    </row>
    <row r="449" spans="10:10">
      <c r="J449" s="291"/>
    </row>
    <row r="450" spans="10:10">
      <c r="J450" s="291"/>
    </row>
    <row r="451" spans="10:10">
      <c r="J451" s="291"/>
    </row>
    <row r="452" spans="10:10">
      <c r="J452" s="291"/>
    </row>
    <row r="453" spans="10:10">
      <c r="J453" s="291"/>
    </row>
    <row r="454" spans="10:10">
      <c r="J454" s="291"/>
    </row>
    <row r="455" spans="10:10">
      <c r="J455" s="291"/>
    </row>
    <row r="456" spans="10:10">
      <c r="J456" s="291"/>
    </row>
    <row r="457" spans="10:10">
      <c r="J457" s="291"/>
    </row>
    <row r="458" spans="10:10">
      <c r="J458" s="291"/>
    </row>
    <row r="459" spans="10:10">
      <c r="J459" s="291"/>
    </row>
    <row r="460" spans="10:10">
      <c r="J460" s="291"/>
    </row>
    <row r="461" spans="10:10">
      <c r="J461" s="291"/>
    </row>
    <row r="462" spans="10:10">
      <c r="J462" s="291"/>
    </row>
    <row r="463" spans="10:10">
      <c r="J463" s="291"/>
    </row>
    <row r="464" spans="10:10">
      <c r="J464" s="291"/>
    </row>
    <row r="465" spans="10:10">
      <c r="J465" s="291"/>
    </row>
    <row r="466" spans="10:10">
      <c r="J466" s="291"/>
    </row>
    <row r="467" spans="10:10">
      <c r="J467" s="291"/>
    </row>
    <row r="468" spans="10:10">
      <c r="J468" s="291"/>
    </row>
    <row r="469" spans="10:10">
      <c r="J469" s="291"/>
    </row>
    <row r="470" spans="10:10">
      <c r="J470" s="291"/>
    </row>
    <row r="471" spans="10:10">
      <c r="J471" s="291"/>
    </row>
    <row r="472" spans="10:10">
      <c r="J472" s="291"/>
    </row>
    <row r="473" spans="10:10">
      <c r="J473" s="291"/>
    </row>
    <row r="474" spans="10:10">
      <c r="J474" s="291"/>
    </row>
    <row r="475" spans="10:10">
      <c r="J475" s="291"/>
    </row>
    <row r="476" spans="10:10">
      <c r="J476" s="291"/>
    </row>
    <row r="477" spans="10:10">
      <c r="J477" s="291"/>
    </row>
    <row r="478" spans="10:10">
      <c r="J478" s="291"/>
    </row>
    <row r="479" spans="10:10">
      <c r="J479" s="291"/>
    </row>
    <row r="480" spans="10:10">
      <c r="J480" s="291"/>
    </row>
    <row r="481" spans="10:10">
      <c r="J481" s="291"/>
    </row>
    <row r="482" spans="10:10">
      <c r="J482" s="291"/>
    </row>
    <row r="483" spans="10:10">
      <c r="J483" s="291"/>
    </row>
    <row r="484" spans="10:10">
      <c r="J484" s="291"/>
    </row>
    <row r="485" spans="10:10">
      <c r="J485" s="291"/>
    </row>
    <row r="486" spans="10:10">
      <c r="J486" s="291"/>
    </row>
    <row r="487" spans="10:10">
      <c r="J487" s="291"/>
    </row>
    <row r="488" spans="10:10">
      <c r="J488" s="291"/>
    </row>
    <row r="489" spans="10:10">
      <c r="J489" s="291"/>
    </row>
    <row r="490" spans="10:10">
      <c r="J490" s="291"/>
    </row>
    <row r="491" spans="10:10">
      <c r="J491" s="291"/>
    </row>
    <row r="492" spans="10:10">
      <c r="J492" s="291"/>
    </row>
    <row r="493" spans="10:10">
      <c r="J493" s="291"/>
    </row>
    <row r="494" spans="10:10">
      <c r="J494" s="291"/>
    </row>
    <row r="495" spans="10:10">
      <c r="J495" s="291"/>
    </row>
    <row r="496" spans="10:10">
      <c r="J496" s="291"/>
    </row>
    <row r="497" spans="10:10">
      <c r="J497" s="291"/>
    </row>
    <row r="498" spans="10:10">
      <c r="J498" s="291"/>
    </row>
    <row r="499" spans="10:10">
      <c r="J499" s="291"/>
    </row>
    <row r="500" spans="10:10">
      <c r="J500" s="291"/>
    </row>
    <row r="501" spans="10:10">
      <c r="J501" s="291"/>
    </row>
    <row r="502" spans="10:10">
      <c r="J502" s="291"/>
    </row>
    <row r="503" spans="10:10">
      <c r="J503" s="291"/>
    </row>
    <row r="504" spans="10:10">
      <c r="J504" s="291"/>
    </row>
    <row r="505" spans="10:10">
      <c r="J505" s="291"/>
    </row>
    <row r="506" spans="10:10">
      <c r="J506" s="291"/>
    </row>
    <row r="507" spans="10:10">
      <c r="J507" s="291"/>
    </row>
    <row r="508" spans="10:10">
      <c r="J508" s="291"/>
    </row>
    <row r="509" spans="10:10">
      <c r="J509" s="291"/>
    </row>
    <row r="510" spans="10:10">
      <c r="J510" s="291"/>
    </row>
    <row r="511" spans="10:10">
      <c r="J511" s="291"/>
    </row>
    <row r="512" spans="10:10">
      <c r="J512" s="291"/>
    </row>
    <row r="513" spans="10:10">
      <c r="J513" s="291"/>
    </row>
    <row r="514" spans="10:10">
      <c r="J514" s="291"/>
    </row>
    <row r="515" spans="10:10">
      <c r="J515" s="291"/>
    </row>
    <row r="516" spans="10:10">
      <c r="J516" s="291"/>
    </row>
    <row r="517" spans="10:10">
      <c r="J517" s="291"/>
    </row>
    <row r="518" spans="10:10">
      <c r="J518" s="291"/>
    </row>
    <row r="519" spans="10:10">
      <c r="J519" s="291"/>
    </row>
    <row r="520" spans="10:10">
      <c r="J520" s="291"/>
    </row>
    <row r="521" spans="10:10">
      <c r="J521" s="291"/>
    </row>
    <row r="522" spans="10:10">
      <c r="J522" s="291"/>
    </row>
    <row r="523" spans="10:10">
      <c r="J523" s="291"/>
    </row>
    <row r="524" spans="10:10">
      <c r="J524" s="291"/>
    </row>
    <row r="525" spans="10:10">
      <c r="J525" s="291"/>
    </row>
    <row r="526" spans="10:10">
      <c r="J526" s="291"/>
    </row>
    <row r="527" spans="10:10">
      <c r="J527" s="291"/>
    </row>
    <row r="528" spans="10:10">
      <c r="J528" s="291"/>
    </row>
    <row r="529" spans="10:10">
      <c r="J529" s="291"/>
    </row>
    <row r="530" spans="10:10">
      <c r="J530" s="291"/>
    </row>
    <row r="531" spans="10:10">
      <c r="J531" s="291"/>
    </row>
    <row r="532" spans="10:10">
      <c r="J532" s="291"/>
    </row>
    <row r="533" spans="10:10">
      <c r="J533" s="291"/>
    </row>
    <row r="534" spans="10:10">
      <c r="J534" s="291"/>
    </row>
    <row r="535" spans="10:10">
      <c r="J535" s="291"/>
    </row>
    <row r="536" spans="10:10">
      <c r="J536" s="291"/>
    </row>
    <row r="537" spans="10:10">
      <c r="J537" s="291"/>
    </row>
    <row r="538" spans="10:10">
      <c r="J538" s="291"/>
    </row>
    <row r="539" spans="10:10">
      <c r="J539" s="291"/>
    </row>
    <row r="540" spans="10:10">
      <c r="J540" s="291"/>
    </row>
    <row r="541" spans="10:10">
      <c r="J541" s="291"/>
    </row>
    <row r="542" spans="10:10">
      <c r="J542" s="291"/>
    </row>
    <row r="543" spans="10:10">
      <c r="J543" s="291"/>
    </row>
    <row r="544" spans="10:10">
      <c r="J544" s="291"/>
    </row>
    <row r="545" spans="10:10">
      <c r="J545" s="291"/>
    </row>
    <row r="546" spans="10:10">
      <c r="J546" s="291"/>
    </row>
    <row r="547" spans="10:10">
      <c r="J547" s="291"/>
    </row>
    <row r="548" spans="10:10">
      <c r="J548" s="291"/>
    </row>
    <row r="549" spans="10:10">
      <c r="J549" s="291"/>
    </row>
    <row r="550" spans="10:10">
      <c r="J550" s="291"/>
    </row>
    <row r="551" spans="10:10">
      <c r="J551" s="291"/>
    </row>
    <row r="552" spans="10:10">
      <c r="J552" s="291"/>
    </row>
    <row r="553" spans="10:10">
      <c r="J553" s="291"/>
    </row>
    <row r="554" spans="10:10">
      <c r="J554" s="291"/>
    </row>
    <row r="555" spans="10:10">
      <c r="J555" s="291"/>
    </row>
    <row r="556" spans="10:10">
      <c r="J556" s="291"/>
    </row>
    <row r="557" spans="10:10">
      <c r="J557" s="291"/>
    </row>
    <row r="558" spans="10:10">
      <c r="J558" s="291"/>
    </row>
    <row r="559" spans="10:10">
      <c r="J559" s="291"/>
    </row>
    <row r="560" spans="10:10">
      <c r="J560" s="291"/>
    </row>
    <row r="561" spans="10:10">
      <c r="J561" s="291"/>
    </row>
    <row r="562" spans="10:10">
      <c r="J562" s="291"/>
    </row>
    <row r="563" spans="10:10">
      <c r="J563" s="291"/>
    </row>
    <row r="564" spans="10:10">
      <c r="J564" s="291"/>
    </row>
    <row r="565" spans="10:10">
      <c r="J565" s="291"/>
    </row>
    <row r="566" spans="10:10">
      <c r="J566" s="291"/>
    </row>
    <row r="567" spans="10:10">
      <c r="J567" s="291"/>
    </row>
    <row r="568" spans="10:10">
      <c r="J568" s="291"/>
    </row>
    <row r="569" spans="10:10">
      <c r="J569" s="291"/>
    </row>
    <row r="570" spans="10:10">
      <c r="J570" s="291"/>
    </row>
    <row r="571" spans="10:10">
      <c r="J571" s="291"/>
    </row>
    <row r="572" spans="10:10">
      <c r="J572" s="291"/>
    </row>
    <row r="573" spans="10:10">
      <c r="J573" s="291"/>
    </row>
    <row r="574" spans="10:10">
      <c r="J574" s="291"/>
    </row>
    <row r="575" spans="10:10">
      <c r="J575" s="291"/>
    </row>
    <row r="576" spans="10:10">
      <c r="J576" s="291"/>
    </row>
    <row r="577" spans="10:10">
      <c r="J577" s="291"/>
    </row>
    <row r="578" spans="10:10">
      <c r="J578" s="291"/>
    </row>
    <row r="579" spans="10:10">
      <c r="J579" s="291"/>
    </row>
    <row r="580" spans="10:10">
      <c r="J580" s="291"/>
    </row>
    <row r="581" spans="10:10">
      <c r="J581" s="291"/>
    </row>
    <row r="582" spans="10:10">
      <c r="J582" s="291"/>
    </row>
    <row r="583" spans="10:10">
      <c r="J583" s="291"/>
    </row>
    <row r="584" spans="10:10">
      <c r="J584" s="291"/>
    </row>
    <row r="585" spans="10:10">
      <c r="J585" s="291"/>
    </row>
    <row r="586" spans="10:10">
      <c r="J586" s="291"/>
    </row>
    <row r="587" spans="10:10">
      <c r="J587" s="291"/>
    </row>
    <row r="588" spans="10:10">
      <c r="J588" s="291"/>
    </row>
    <row r="589" spans="10:10">
      <c r="J589" s="291"/>
    </row>
    <row r="590" spans="10:10">
      <c r="J590" s="291"/>
    </row>
    <row r="591" spans="10:10">
      <c r="J591" s="291"/>
    </row>
    <row r="592" spans="10:10">
      <c r="J592" s="291"/>
    </row>
    <row r="593" spans="10:10">
      <c r="J593" s="291"/>
    </row>
    <row r="594" spans="10:10">
      <c r="J594" s="291"/>
    </row>
    <row r="595" spans="10:10">
      <c r="J595" s="291"/>
    </row>
    <row r="596" spans="10:10">
      <c r="J596" s="291"/>
    </row>
    <row r="597" spans="10:10">
      <c r="J597" s="291"/>
    </row>
    <row r="598" spans="10:10">
      <c r="J598" s="291"/>
    </row>
    <row r="599" spans="10:10">
      <c r="J599" s="291"/>
    </row>
    <row r="600" spans="10:10">
      <c r="J600" s="291"/>
    </row>
    <row r="601" spans="10:10">
      <c r="J601" s="291"/>
    </row>
    <row r="602" spans="10:10">
      <c r="J602" s="291"/>
    </row>
    <row r="603" spans="10:10">
      <c r="J603" s="291"/>
    </row>
    <row r="604" spans="10:10">
      <c r="J604" s="291"/>
    </row>
    <row r="605" spans="10:10">
      <c r="J605" s="291"/>
    </row>
    <row r="606" spans="10:10">
      <c r="J606" s="291"/>
    </row>
    <row r="607" spans="10:10">
      <c r="J607" s="291"/>
    </row>
    <row r="608" spans="10:10">
      <c r="J608" s="291"/>
    </row>
    <row r="609" spans="10:10">
      <c r="J609" s="291"/>
    </row>
    <row r="610" spans="10:10">
      <c r="J610" s="291"/>
    </row>
    <row r="611" spans="10:10">
      <c r="J611" s="291"/>
    </row>
    <row r="612" spans="10:10">
      <c r="J612" s="291"/>
    </row>
    <row r="613" spans="10:10">
      <c r="J613" s="291"/>
    </row>
    <row r="614" spans="10:10">
      <c r="J614" s="291"/>
    </row>
    <row r="615" spans="10:10">
      <c r="J615" s="291"/>
    </row>
    <row r="616" spans="10:10">
      <c r="J616" s="291"/>
    </row>
    <row r="617" spans="10:10">
      <c r="J617" s="291"/>
    </row>
    <row r="618" spans="10:10">
      <c r="J618" s="291"/>
    </row>
    <row r="619" spans="10:10">
      <c r="J619" s="291"/>
    </row>
    <row r="620" spans="10:10">
      <c r="J620" s="291"/>
    </row>
    <row r="621" spans="10:10">
      <c r="J621" s="291"/>
    </row>
    <row r="622" spans="10:10">
      <c r="J622" s="291"/>
    </row>
    <row r="623" spans="10:10">
      <c r="J623" s="291"/>
    </row>
    <row r="624" spans="10:10">
      <c r="J624" s="291"/>
    </row>
    <row r="625" spans="10:10">
      <c r="J625" s="291"/>
    </row>
    <row r="626" spans="10:10">
      <c r="J626" s="291"/>
    </row>
    <row r="627" spans="10:10">
      <c r="J627" s="291"/>
    </row>
    <row r="628" spans="10:10">
      <c r="J628" s="291"/>
    </row>
    <row r="629" spans="10:10">
      <c r="J629" s="291"/>
    </row>
    <row r="630" spans="10:10">
      <c r="J630" s="291"/>
    </row>
    <row r="631" spans="10:10">
      <c r="J631" s="291"/>
    </row>
    <row r="632" spans="10:10">
      <c r="J632" s="291"/>
    </row>
    <row r="633" spans="10:10">
      <c r="J633" s="291"/>
    </row>
    <row r="634" spans="10:10">
      <c r="J634" s="291"/>
    </row>
    <row r="635" spans="10:10">
      <c r="J635" s="291"/>
    </row>
    <row r="636" spans="10:10">
      <c r="J636" s="291"/>
    </row>
    <row r="637" spans="10:10">
      <c r="J637" s="291"/>
    </row>
    <row r="638" spans="10:10">
      <c r="J638" s="291"/>
    </row>
    <row r="639" spans="10:10">
      <c r="J639" s="291"/>
    </row>
    <row r="640" spans="10:10">
      <c r="J640" s="291"/>
    </row>
    <row r="641" spans="10:10">
      <c r="J641" s="291"/>
    </row>
    <row r="642" spans="10:10">
      <c r="J642" s="291"/>
    </row>
    <row r="643" spans="10:10">
      <c r="J643" s="291"/>
    </row>
    <row r="644" spans="10:10">
      <c r="J644" s="291"/>
    </row>
    <row r="645" spans="10:10">
      <c r="J645" s="291"/>
    </row>
    <row r="646" spans="10:10">
      <c r="J646" s="291"/>
    </row>
    <row r="647" spans="10:10">
      <c r="J647" s="291"/>
    </row>
    <row r="648" spans="10:10">
      <c r="J648" s="291"/>
    </row>
    <row r="649" spans="10:10">
      <c r="J649" s="291"/>
    </row>
    <row r="650" spans="10:10">
      <c r="J650" s="291"/>
    </row>
    <row r="651" spans="10:10">
      <c r="J651" s="291"/>
    </row>
    <row r="652" spans="10:10">
      <c r="J652" s="291"/>
    </row>
    <row r="653" spans="10:10">
      <c r="J653" s="291"/>
    </row>
    <row r="654" spans="10:10">
      <c r="J654" s="291"/>
    </row>
    <row r="655" spans="10:10">
      <c r="J655" s="291"/>
    </row>
    <row r="656" spans="10:10">
      <c r="J656" s="291"/>
    </row>
    <row r="657" spans="10:10">
      <c r="J657" s="291"/>
    </row>
    <row r="658" spans="10:10">
      <c r="J658" s="291"/>
    </row>
    <row r="659" spans="10:10">
      <c r="J659" s="291"/>
    </row>
    <row r="660" spans="10:10">
      <c r="J660" s="291"/>
    </row>
    <row r="661" spans="10:10">
      <c r="J661" s="291"/>
    </row>
    <row r="662" spans="10:10">
      <c r="J662" s="291"/>
    </row>
    <row r="663" spans="10:10">
      <c r="J663" s="291"/>
    </row>
    <row r="664" spans="10:10">
      <c r="J664" s="291"/>
    </row>
    <row r="665" spans="10:10">
      <c r="J665" s="291"/>
    </row>
    <row r="666" spans="10:10">
      <c r="J666" s="291"/>
    </row>
    <row r="667" spans="10:10">
      <c r="J667" s="291"/>
    </row>
    <row r="668" spans="10:10">
      <c r="J668" s="291"/>
    </row>
    <row r="669" spans="10:10">
      <c r="J669" s="291"/>
    </row>
    <row r="670" spans="10:10">
      <c r="J670" s="291"/>
    </row>
    <row r="671" spans="10:10">
      <c r="J671" s="291"/>
    </row>
    <row r="672" spans="10:10">
      <c r="J672" s="291"/>
    </row>
    <row r="673" spans="10:10">
      <c r="J673" s="291"/>
    </row>
    <row r="674" spans="10:10">
      <c r="J674" s="291"/>
    </row>
    <row r="675" spans="10:10">
      <c r="J675" s="291"/>
    </row>
    <row r="676" spans="10:10">
      <c r="J676" s="291"/>
    </row>
    <row r="677" spans="10:10">
      <c r="J677" s="291"/>
    </row>
    <row r="678" spans="10:10">
      <c r="J678" s="291"/>
    </row>
    <row r="679" spans="10:10">
      <c r="J679" s="291"/>
    </row>
    <row r="680" spans="10:10">
      <c r="J680" s="291"/>
    </row>
    <row r="681" spans="10:10">
      <c r="J681" s="291"/>
    </row>
    <row r="682" spans="10:10">
      <c r="J682" s="291"/>
    </row>
    <row r="683" spans="10:10">
      <c r="J683" s="291"/>
    </row>
    <row r="684" spans="10:10">
      <c r="J684" s="291"/>
    </row>
    <row r="685" spans="10:10">
      <c r="J685" s="291"/>
    </row>
    <row r="686" spans="10:10">
      <c r="J686" s="291"/>
    </row>
    <row r="687" spans="10:10">
      <c r="J687" s="291"/>
    </row>
    <row r="688" spans="10:10">
      <c r="J688" s="291"/>
    </row>
    <row r="689" spans="10:10">
      <c r="J689" s="291"/>
    </row>
    <row r="690" spans="10:10">
      <c r="J690" s="291"/>
    </row>
    <row r="691" spans="10:10">
      <c r="J691" s="291"/>
    </row>
    <row r="692" spans="10:10">
      <c r="J692" s="291"/>
    </row>
    <row r="693" spans="10:10">
      <c r="J693" s="291"/>
    </row>
    <row r="694" spans="10:10">
      <c r="J694" s="291"/>
    </row>
    <row r="695" spans="10:10">
      <c r="J695" s="291"/>
    </row>
    <row r="696" spans="10:10">
      <c r="J696" s="291"/>
    </row>
    <row r="697" spans="10:10">
      <c r="J697" s="291"/>
    </row>
    <row r="698" spans="10:10">
      <c r="J698" s="291"/>
    </row>
    <row r="699" spans="10:10">
      <c r="J699" s="291"/>
    </row>
    <row r="700" spans="10:10">
      <c r="J700" s="291"/>
    </row>
    <row r="701" spans="10:10">
      <c r="J701" s="291"/>
    </row>
    <row r="702" spans="10:10">
      <c r="J702" s="291"/>
    </row>
    <row r="703" spans="10:10">
      <c r="J703" s="291"/>
    </row>
    <row r="704" spans="10:10">
      <c r="J704" s="291"/>
    </row>
    <row r="705" spans="10:10">
      <c r="J705" s="291"/>
    </row>
    <row r="706" spans="10:10">
      <c r="J706" s="291"/>
    </row>
    <row r="707" spans="10:10">
      <c r="J707" s="291"/>
    </row>
    <row r="708" spans="10:10">
      <c r="J708" s="291"/>
    </row>
    <row r="709" spans="10:10">
      <c r="J709" s="291"/>
    </row>
    <row r="710" spans="10:10">
      <c r="J710" s="291"/>
    </row>
    <row r="711" spans="10:10">
      <c r="J711" s="291"/>
    </row>
    <row r="712" spans="10:10">
      <c r="J712" s="291"/>
    </row>
    <row r="713" spans="10:10">
      <c r="J713" s="291"/>
    </row>
    <row r="714" spans="10:10">
      <c r="J714" s="291"/>
    </row>
    <row r="715" spans="10:10">
      <c r="J715" s="291"/>
    </row>
    <row r="716" spans="10:10">
      <c r="J716" s="291"/>
    </row>
    <row r="717" spans="10:10">
      <c r="J717" s="291"/>
    </row>
    <row r="718" spans="10:10">
      <c r="J718" s="291"/>
    </row>
  </sheetData>
  <autoFilter ref="A8:S253" xr:uid="{00000000-0009-0000-0000-00000C000000}"/>
  <mergeCells count="1">
    <mergeCell ref="A6:C6"/>
  </mergeCells>
  <dataValidations count="9">
    <dataValidation type="list" allowBlank="1" showInputMessage="1" showErrorMessage="1" sqref="B9:C253" xr:uid="{122464A5-1C00-40E7-91BB-49FC31650934}"/>
    <dataValidation type="list" allowBlank="1" showInputMessage="1" showErrorMessage="1" sqref="R9:R253" xr:uid="{B3B5D85D-E8DA-46F6-BE46-A9B13E1901D5}">
      <formula1>"машиночитаемый, немашиночитаемый"</formula1>
    </dataValidation>
    <dataValidation type="list" allowBlank="1" showInputMessage="1" showErrorMessage="1" sqref="Q9:Q253" xr:uid="{00EB1A8D-2901-4BDC-AE12-37A218F9F2DC}">
      <formula1>"цифровой, нецифровой, частично цифровой"</formula1>
    </dataValidation>
    <dataValidation type="list" allowBlank="1" showInputMessage="1" showErrorMessage="1" sqref="P9:P253" xr:uid="{234FE4F4-CB94-459E-A1BF-203B7E6F5BD5}">
      <formula1>"бумажный, безбумажный"</formula1>
    </dataValidation>
    <dataValidation type="list" allowBlank="1" showInputMessage="1" showErrorMessage="1" sqref="O9:O253" xr:uid="{DEF16B7B-918A-414B-A470-A8742DB8BB90}">
      <formula1>"владелец, соисполнитель"</formula1>
    </dataValidation>
    <dataValidation type="list" allowBlank="1" showInputMessage="1" showErrorMessage="1" sqref="M9:M253" xr:uid="{A61917C6-66D0-46C3-8D65-DE936047882C}">
      <formula1>"сквозной, несквозной"</formula1>
    </dataValidation>
    <dataValidation type="list" allowBlank="1" showInputMessage="1" showErrorMessage="1" sqref="J9:J253" xr:uid="{18C13E17-E75A-4571-9BD3-6760EEFD4629}">
      <formula1>"основной, вспомогательный, управленческий"</formula1>
    </dataValidation>
    <dataValidation type="list" allowBlank="1" showInputMessage="1" showErrorMessage="1" sqref="F9:F253" xr:uid="{72960A6B-0B68-4746-9BC6-D82901231823}">
      <formula1>"в очереди на исследование, идет исследование, в очереди на реинжиниринг, проходит реинжиниринг, прошёл реинжиниринг"</formula1>
    </dataValidation>
    <dataValidation type="list" allowBlank="1" showInputMessage="1" showErrorMessage="1" sqref="A9:A253" xr:uid="{E47C29DD-3D6B-417A-9100-8C784F895399}">
      <formula1>"МЛХ"</formula1>
    </dataValidation>
  </dataValidations>
  <hyperlinks>
    <hyperlink ref="D1" location="'Наименование ОГВ'!A1" display="Наименование ОГВ'!A1" xr:uid="{EE611410-6297-4278-A7C7-DFA750689120}"/>
  </hyperlinks>
  <pageMargins left="0.70833333333333304" right="0.70833333333333304" top="0.74791666666666701" bottom="0.74791666666666701" header="0.511811023622047" footer="0.511811023622047"/>
  <pageSetup paperSize="9" scale="65" orientation="landscape" horizontalDpi="300" verticalDpi="30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5B8EE-8E4C-8747-B0BF-6EBEDC6CE460}">
  <dimension ref="A1:EA17"/>
  <sheetViews>
    <sheetView topLeftCell="A12" workbookViewId="0">
      <selection activeCell="A17" sqref="A17:XFD17"/>
    </sheetView>
  </sheetViews>
  <sheetFormatPr baseColWidth="10" defaultRowHeight="15" outlineLevelRow="1"/>
  <sheetData>
    <row r="1" spans="1:131" s="78" customFormat="1" ht="19.5" customHeight="1">
      <c r="A1" s="75" t="s">
        <v>272</v>
      </c>
      <c r="B1" s="74"/>
      <c r="C1" s="74"/>
      <c r="D1" s="351" t="s">
        <v>317</v>
      </c>
      <c r="E1" s="79"/>
      <c r="F1" s="79"/>
      <c r="G1" s="79"/>
      <c r="H1" s="79"/>
      <c r="I1" s="79"/>
      <c r="J1" s="79"/>
      <c r="K1" s="81"/>
      <c r="L1" s="81"/>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79"/>
      <c r="BJ1" s="79"/>
      <c r="BK1" s="79"/>
      <c r="BL1" s="79"/>
      <c r="BM1" s="79"/>
      <c r="BN1" s="79"/>
      <c r="BO1" s="79"/>
      <c r="BP1" s="79"/>
      <c r="BQ1" s="79"/>
      <c r="BR1" s="79"/>
      <c r="BS1" s="79"/>
      <c r="BT1" s="79"/>
      <c r="BU1" s="79"/>
      <c r="BV1" s="79"/>
      <c r="BW1" s="79"/>
      <c r="BX1" s="79"/>
      <c r="BY1" s="79"/>
      <c r="BZ1" s="79"/>
      <c r="CA1" s="79"/>
      <c r="CB1" s="79"/>
      <c r="CC1" s="79"/>
      <c r="CD1" s="79"/>
      <c r="CE1" s="79"/>
      <c r="CF1" s="79"/>
      <c r="CG1" s="79"/>
      <c r="CH1" s="79"/>
      <c r="CI1" s="79"/>
      <c r="CJ1" s="79"/>
      <c r="CK1" s="79"/>
      <c r="CL1" s="79"/>
      <c r="CM1" s="79"/>
      <c r="CN1" s="79"/>
      <c r="CO1" s="79"/>
      <c r="CP1" s="79"/>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row>
    <row r="2" spans="1:131" s="78" customFormat="1" ht="15" customHeight="1">
      <c r="A2" s="76" t="s">
        <v>273</v>
      </c>
      <c r="B2" s="74"/>
      <c r="C2" s="77"/>
      <c r="D2" s="80" t="s">
        <v>356</v>
      </c>
      <c r="E2" s="80"/>
      <c r="F2" s="79"/>
      <c r="G2" s="79"/>
      <c r="H2" s="79"/>
      <c r="I2" s="79"/>
      <c r="J2" s="79"/>
      <c r="K2" s="79"/>
      <c r="L2" s="81"/>
      <c r="M2" s="79"/>
      <c r="N2" s="79"/>
      <c r="O2" s="79"/>
      <c r="P2" s="79"/>
      <c r="Q2" s="79"/>
      <c r="R2" s="79"/>
      <c r="S2" s="79"/>
      <c r="T2" s="79"/>
      <c r="U2" s="79"/>
      <c r="V2" s="79"/>
      <c r="W2" s="79"/>
      <c r="X2" s="79"/>
      <c r="Y2" s="79"/>
      <c r="Z2" s="79"/>
      <c r="AA2" s="79"/>
      <c r="AB2" s="79"/>
      <c r="AC2" s="79"/>
      <c r="AD2" s="79"/>
      <c r="AE2" s="79"/>
      <c r="AF2" s="79"/>
      <c r="AG2" s="79"/>
      <c r="AH2" s="79"/>
      <c r="AI2" s="79"/>
      <c r="AJ2" s="79"/>
      <c r="AK2" s="79"/>
      <c r="AL2" s="79"/>
      <c r="AM2" s="79"/>
      <c r="AN2" s="79"/>
      <c r="AO2" s="79"/>
      <c r="AP2" s="79"/>
      <c r="AQ2" s="79"/>
      <c r="AR2" s="79"/>
      <c r="AS2" s="79"/>
      <c r="AT2" s="79"/>
      <c r="AU2" s="79"/>
      <c r="AV2" s="79"/>
      <c r="AW2" s="79"/>
      <c r="AX2" s="79"/>
      <c r="AY2" s="79"/>
      <c r="AZ2" s="79"/>
      <c r="BA2" s="79"/>
      <c r="BB2" s="79"/>
      <c r="BC2" s="79"/>
      <c r="BD2" s="79"/>
      <c r="BE2" s="79"/>
      <c r="BF2" s="79"/>
      <c r="BG2" s="79"/>
      <c r="BH2" s="79"/>
      <c r="BI2" s="79"/>
      <c r="BJ2" s="79"/>
      <c r="BK2" s="79"/>
      <c r="BL2" s="79"/>
      <c r="BM2" s="79"/>
      <c r="BN2" s="79"/>
      <c r="BO2" s="79"/>
      <c r="BP2" s="79"/>
      <c r="BQ2" s="79"/>
      <c r="BR2" s="79"/>
      <c r="BS2" s="79"/>
      <c r="BT2" s="79"/>
      <c r="BU2" s="79"/>
      <c r="BV2" s="79"/>
      <c r="BW2" s="79"/>
      <c r="BX2" s="79"/>
      <c r="BY2" s="79"/>
      <c r="BZ2" s="79"/>
      <c r="CA2" s="79"/>
      <c r="CB2" s="79"/>
      <c r="CC2" s="79"/>
      <c r="CD2" s="79"/>
      <c r="CE2" s="79"/>
      <c r="CF2" s="79"/>
      <c r="CG2" s="79"/>
      <c r="CH2" s="79"/>
      <c r="CI2" s="79"/>
      <c r="CJ2" s="79"/>
      <c r="CK2" s="79"/>
      <c r="CL2" s="79"/>
      <c r="CM2" s="79"/>
      <c r="CN2" s="79"/>
      <c r="CO2" s="79"/>
      <c r="CP2" s="79"/>
      <c r="CQ2" s="79"/>
      <c r="CR2" s="79"/>
      <c r="CS2" s="79"/>
      <c r="CT2" s="79"/>
      <c r="CU2" s="79"/>
      <c r="CV2" s="79"/>
      <c r="CW2" s="79"/>
      <c r="CX2" s="79"/>
      <c r="CY2" s="79"/>
      <c r="CZ2" s="79"/>
      <c r="DA2" s="79"/>
      <c r="DB2" s="79"/>
      <c r="DC2" s="79"/>
      <c r="DD2" s="79"/>
      <c r="DE2" s="79"/>
      <c r="DF2" s="79"/>
      <c r="DG2" s="79"/>
      <c r="DH2" s="79"/>
      <c r="DI2" s="79"/>
      <c r="DJ2" s="79"/>
      <c r="DK2" s="79"/>
      <c r="DL2" s="79"/>
      <c r="DM2" s="79"/>
      <c r="DN2" s="79"/>
      <c r="DO2" s="79"/>
      <c r="DP2" s="79"/>
      <c r="DQ2" s="79"/>
      <c r="DR2" s="79"/>
      <c r="DS2" s="79"/>
      <c r="DT2" s="79"/>
      <c r="DU2" s="79"/>
      <c r="DV2" s="79"/>
      <c r="DW2" s="79"/>
      <c r="DX2" s="79"/>
      <c r="DY2" s="79"/>
      <c r="DZ2" s="79"/>
      <c r="EA2" s="79"/>
    </row>
    <row r="3" spans="1:131" s="78" customFormat="1" ht="15" customHeight="1">
      <c r="A3" s="76" t="s">
        <v>274</v>
      </c>
      <c r="B3" s="74"/>
      <c r="C3" s="74"/>
      <c r="D3" s="80"/>
      <c r="E3" s="80"/>
      <c r="F3" s="79"/>
      <c r="G3" s="79"/>
      <c r="H3" s="79"/>
      <c r="I3" s="79"/>
      <c r="J3" s="79"/>
      <c r="K3" s="79"/>
      <c r="L3" s="79"/>
      <c r="M3" s="79"/>
      <c r="N3" s="79"/>
      <c r="O3" s="79"/>
      <c r="P3" s="79"/>
      <c r="Q3" s="79"/>
      <c r="R3" s="79"/>
      <c r="S3" s="79"/>
      <c r="T3" s="79"/>
      <c r="U3" s="79"/>
      <c r="V3" s="79"/>
      <c r="W3" s="79"/>
      <c r="X3" s="79"/>
      <c r="Y3" s="79"/>
      <c r="Z3" s="79"/>
      <c r="AA3" s="79"/>
      <c r="AB3" s="79"/>
      <c r="AC3" s="79"/>
      <c r="AD3" s="79"/>
      <c r="AE3" s="79"/>
      <c r="AF3" s="79"/>
      <c r="AG3" s="79"/>
      <c r="AH3" s="79"/>
      <c r="AI3" s="79"/>
      <c r="AJ3" s="79"/>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79"/>
      <c r="BS3" s="79"/>
      <c r="BT3" s="79"/>
      <c r="BU3" s="79"/>
      <c r="BV3" s="79"/>
      <c r="BW3" s="79"/>
      <c r="BX3" s="79"/>
      <c r="BY3" s="79"/>
      <c r="BZ3" s="79"/>
      <c r="CA3" s="79"/>
      <c r="CB3" s="79"/>
      <c r="CC3" s="79"/>
      <c r="CD3" s="79"/>
      <c r="CE3" s="79"/>
      <c r="CF3" s="79"/>
      <c r="CG3" s="79"/>
      <c r="CH3" s="79"/>
      <c r="CI3" s="79"/>
      <c r="CJ3" s="79"/>
      <c r="CK3" s="79"/>
      <c r="CL3" s="79"/>
      <c r="CM3" s="79"/>
      <c r="CN3" s="79"/>
      <c r="CO3" s="79"/>
      <c r="CP3" s="79"/>
      <c r="CQ3" s="79"/>
      <c r="CR3" s="79"/>
      <c r="CS3" s="79"/>
      <c r="CT3" s="79"/>
      <c r="CU3" s="79"/>
      <c r="CV3" s="79"/>
      <c r="CW3" s="79"/>
      <c r="CX3" s="79"/>
      <c r="CY3" s="79"/>
      <c r="CZ3" s="79"/>
      <c r="DA3" s="79"/>
      <c r="DB3" s="79"/>
      <c r="DC3" s="79"/>
      <c r="DD3" s="79"/>
      <c r="DE3" s="79"/>
      <c r="DF3" s="79"/>
      <c r="DG3" s="79"/>
      <c r="DH3" s="79"/>
      <c r="DI3" s="79"/>
      <c r="DJ3" s="79"/>
      <c r="DK3" s="79"/>
      <c r="DL3" s="79"/>
      <c r="DM3" s="79"/>
      <c r="DN3" s="79"/>
      <c r="DO3" s="79"/>
      <c r="DP3" s="79"/>
      <c r="DQ3" s="79"/>
      <c r="DR3" s="79"/>
      <c r="DS3" s="79"/>
      <c r="DT3" s="79"/>
      <c r="DU3" s="79"/>
      <c r="DV3" s="79"/>
      <c r="DW3" s="79"/>
      <c r="DX3" s="79"/>
      <c r="DY3" s="79"/>
      <c r="DZ3" s="79"/>
      <c r="EA3" s="79"/>
    </row>
    <row r="4" spans="1:131" s="78" customFormat="1" ht="15" customHeight="1">
      <c r="A4" s="76" t="s">
        <v>275</v>
      </c>
      <c r="B4" s="74"/>
      <c r="C4" s="74"/>
      <c r="D4" s="98">
        <v>45854</v>
      </c>
      <c r="E4" s="80"/>
      <c r="F4" s="79"/>
      <c r="G4" s="79"/>
      <c r="H4" s="79"/>
      <c r="I4" s="79"/>
      <c r="J4" s="79"/>
      <c r="K4" s="81"/>
      <c r="L4" s="81"/>
      <c r="M4" s="79"/>
      <c r="N4" s="79"/>
      <c r="O4" s="79"/>
      <c r="P4" s="79"/>
      <c r="Q4" s="79"/>
      <c r="R4" s="79"/>
      <c r="S4" s="79"/>
      <c r="T4" s="79"/>
      <c r="U4" s="79"/>
      <c r="V4" s="79"/>
      <c r="W4" s="79"/>
      <c r="X4" s="79"/>
      <c r="Y4" s="79"/>
      <c r="Z4" s="79"/>
      <c r="AA4" s="79"/>
      <c r="AB4" s="79"/>
      <c r="AC4" s="79"/>
      <c r="AD4" s="79"/>
      <c r="AE4" s="79"/>
      <c r="AF4" s="79"/>
      <c r="AG4" s="79"/>
      <c r="AH4" s="79"/>
      <c r="AI4" s="79"/>
      <c r="AJ4" s="79"/>
      <c r="AK4" s="79"/>
      <c r="AL4" s="79"/>
      <c r="AM4" s="79"/>
      <c r="AN4" s="79"/>
      <c r="AO4" s="79"/>
      <c r="AP4" s="79"/>
      <c r="AQ4" s="79"/>
      <c r="AR4" s="79"/>
      <c r="AS4" s="79"/>
      <c r="AT4" s="79"/>
      <c r="AU4" s="79"/>
      <c r="AV4" s="79"/>
      <c r="AW4" s="79"/>
      <c r="AX4" s="79"/>
      <c r="AY4" s="79"/>
      <c r="AZ4" s="79"/>
      <c r="BA4" s="79"/>
      <c r="BB4" s="79"/>
      <c r="BC4" s="79"/>
      <c r="BD4" s="79"/>
      <c r="BE4" s="79"/>
      <c r="BF4" s="79"/>
      <c r="BG4" s="79"/>
      <c r="BH4" s="79"/>
      <c r="BI4" s="79"/>
      <c r="BJ4" s="79"/>
      <c r="BK4" s="79"/>
      <c r="BL4" s="79"/>
      <c r="BM4" s="79"/>
      <c r="BN4" s="79"/>
      <c r="BO4" s="79"/>
      <c r="BP4" s="79"/>
      <c r="BQ4" s="79"/>
      <c r="BR4" s="79"/>
      <c r="BS4" s="79"/>
      <c r="BT4" s="79"/>
      <c r="BU4" s="79"/>
      <c r="BV4" s="79"/>
      <c r="BW4" s="79"/>
      <c r="BX4" s="79"/>
      <c r="BY4" s="79"/>
      <c r="BZ4" s="79"/>
      <c r="CA4" s="79"/>
      <c r="CB4" s="79"/>
      <c r="CC4" s="79"/>
      <c r="CD4" s="79"/>
      <c r="CE4" s="79"/>
      <c r="CF4" s="79"/>
      <c r="CG4" s="79"/>
      <c r="CH4" s="79"/>
      <c r="CI4" s="79"/>
      <c r="CJ4" s="79"/>
      <c r="CK4" s="79"/>
      <c r="CL4" s="79"/>
      <c r="CM4" s="79"/>
      <c r="CN4" s="79"/>
      <c r="CO4" s="79"/>
      <c r="CP4" s="79"/>
      <c r="CQ4" s="79"/>
      <c r="CR4" s="79"/>
      <c r="CS4" s="79"/>
      <c r="CT4" s="79"/>
      <c r="CU4" s="79"/>
      <c r="CV4" s="79"/>
      <c r="CW4" s="79"/>
      <c r="CX4" s="79"/>
      <c r="CY4" s="79"/>
      <c r="CZ4" s="79"/>
      <c r="DA4" s="79"/>
      <c r="DB4" s="79"/>
      <c r="DC4" s="79"/>
      <c r="DD4" s="79"/>
      <c r="DE4" s="79"/>
      <c r="DF4" s="79"/>
      <c r="DG4" s="79"/>
      <c r="DH4" s="79"/>
      <c r="DI4" s="79"/>
      <c r="DJ4" s="79"/>
      <c r="DK4" s="79"/>
      <c r="DL4" s="79"/>
      <c r="DM4" s="79"/>
      <c r="DN4" s="79"/>
      <c r="DO4" s="79"/>
      <c r="DP4" s="79"/>
      <c r="DQ4" s="79"/>
      <c r="DR4" s="79"/>
      <c r="DS4" s="79"/>
      <c r="DT4" s="79"/>
      <c r="DU4" s="79"/>
      <c r="DV4" s="79"/>
      <c r="DW4" s="79"/>
      <c r="DX4" s="79"/>
      <c r="DY4" s="79"/>
      <c r="DZ4" s="79"/>
      <c r="EA4" s="79"/>
    </row>
    <row r="5" spans="1:131" s="78" customFormat="1" ht="16">
      <c r="A5" s="79"/>
      <c r="B5" s="79"/>
      <c r="C5" s="96"/>
      <c r="D5" s="79"/>
      <c r="E5" s="79"/>
      <c r="F5" s="79"/>
      <c r="G5" s="79"/>
      <c r="H5" s="79"/>
      <c r="I5" s="79"/>
      <c r="J5" s="79"/>
      <c r="K5" s="79"/>
      <c r="L5" s="79"/>
      <c r="M5" s="79"/>
      <c r="N5" s="79"/>
      <c r="O5" s="79"/>
      <c r="P5" s="79"/>
      <c r="Q5" s="79"/>
      <c r="R5" s="79"/>
      <c r="S5" s="79"/>
      <c r="T5" s="79"/>
      <c r="U5" s="79"/>
      <c r="V5" s="79"/>
      <c r="W5" s="79"/>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79"/>
      <c r="BO5" s="79"/>
      <c r="BP5" s="79"/>
      <c r="BQ5" s="79"/>
      <c r="BR5" s="79"/>
      <c r="BS5" s="79"/>
      <c r="BT5" s="79"/>
      <c r="BU5" s="79"/>
      <c r="BV5" s="79"/>
      <c r="BW5" s="79"/>
      <c r="BX5" s="79"/>
      <c r="BY5" s="79"/>
      <c r="BZ5" s="79"/>
      <c r="CA5" s="79"/>
      <c r="CB5" s="79"/>
      <c r="CC5" s="79"/>
      <c r="CD5" s="79"/>
      <c r="CE5" s="79"/>
      <c r="CF5" s="79"/>
      <c r="CG5" s="79"/>
      <c r="CH5" s="79"/>
      <c r="CI5" s="79"/>
      <c r="CJ5" s="79"/>
      <c r="CK5" s="79"/>
      <c r="CL5" s="79"/>
      <c r="CM5" s="79"/>
      <c r="CN5" s="79"/>
      <c r="CO5" s="79"/>
      <c r="CP5" s="79"/>
      <c r="CQ5" s="79"/>
      <c r="CR5" s="79"/>
      <c r="CS5" s="79"/>
      <c r="CT5" s="79"/>
      <c r="CU5" s="79"/>
      <c r="CV5" s="79"/>
      <c r="CW5" s="79"/>
      <c r="CX5" s="79"/>
      <c r="CY5" s="79"/>
      <c r="CZ5" s="79"/>
      <c r="DA5" s="79"/>
      <c r="DB5" s="79"/>
      <c r="DC5" s="79"/>
      <c r="DD5" s="79"/>
      <c r="DE5" s="79"/>
      <c r="DF5" s="79"/>
      <c r="DG5" s="79"/>
      <c r="DH5" s="79"/>
      <c r="DI5" s="79"/>
      <c r="DJ5" s="79"/>
      <c r="DK5" s="79"/>
      <c r="DL5" s="79"/>
      <c r="DM5" s="79"/>
      <c r="DN5" s="79"/>
      <c r="DO5" s="79"/>
      <c r="DP5" s="79"/>
      <c r="DQ5" s="79"/>
      <c r="DR5" s="79"/>
      <c r="DS5" s="79"/>
      <c r="DT5" s="79"/>
      <c r="DU5" s="79"/>
      <c r="DV5" s="79"/>
      <c r="DW5" s="79"/>
      <c r="DX5" s="79"/>
      <c r="DY5" s="79"/>
      <c r="DZ5" s="79"/>
      <c r="EA5" s="79"/>
    </row>
    <row r="6" spans="1:131" s="79" customFormat="1" ht="15" customHeight="1">
      <c r="A6" s="427" t="s">
        <v>276</v>
      </c>
      <c r="B6" s="427"/>
      <c r="C6" s="427"/>
      <c r="D6" s="96"/>
    </row>
    <row r="7" spans="1:131" s="79" customFormat="1" ht="12.75" customHeight="1">
      <c r="C7" s="96"/>
    </row>
    <row r="8" spans="1:131" s="79" customFormat="1" ht="81.75" customHeight="1">
      <c r="A8" s="23" t="s">
        <v>277</v>
      </c>
      <c r="B8" s="23" t="s">
        <v>278</v>
      </c>
      <c r="C8" s="23" t="s">
        <v>279</v>
      </c>
      <c r="D8" s="23" t="s">
        <v>280</v>
      </c>
      <c r="E8" s="23" t="s">
        <v>281</v>
      </c>
      <c r="F8" s="23" t="s">
        <v>282</v>
      </c>
      <c r="G8" s="23" t="s">
        <v>283</v>
      </c>
      <c r="H8" s="23" t="s">
        <v>284</v>
      </c>
      <c r="I8" s="23" t="s">
        <v>285</v>
      </c>
      <c r="J8" s="23" t="s">
        <v>286</v>
      </c>
      <c r="K8" s="23" t="s">
        <v>287</v>
      </c>
      <c r="L8" s="23" t="s">
        <v>288</v>
      </c>
      <c r="M8" s="23" t="s">
        <v>289</v>
      </c>
      <c r="N8" s="23" t="s">
        <v>290</v>
      </c>
      <c r="O8" s="23" t="s">
        <v>291</v>
      </c>
      <c r="P8" s="23" t="s">
        <v>292</v>
      </c>
      <c r="Q8" s="23" t="s">
        <v>293</v>
      </c>
      <c r="R8" s="23" t="s">
        <v>294</v>
      </c>
      <c r="S8" s="23" t="s">
        <v>295</v>
      </c>
    </row>
    <row r="9" spans="1:131" s="79" customFormat="1" ht="85" outlineLevel="1">
      <c r="A9" s="163" t="s">
        <v>357</v>
      </c>
      <c r="B9" s="167" t="s">
        <v>20</v>
      </c>
      <c r="C9" s="168" t="s">
        <v>21</v>
      </c>
      <c r="D9" s="168" t="s">
        <v>799</v>
      </c>
      <c r="E9" s="169" t="s">
        <v>427</v>
      </c>
      <c r="F9" s="394" t="s">
        <v>296</v>
      </c>
      <c r="G9" s="169" t="s">
        <v>409</v>
      </c>
      <c r="H9" s="169" t="s">
        <v>444</v>
      </c>
      <c r="I9" s="169" t="s">
        <v>306</v>
      </c>
      <c r="J9" s="187" t="s">
        <v>312</v>
      </c>
      <c r="K9" s="188">
        <v>4</v>
      </c>
      <c r="L9" s="188">
        <v>12</v>
      </c>
      <c r="M9" s="188" t="s">
        <v>298</v>
      </c>
      <c r="N9" s="187" t="s">
        <v>753</v>
      </c>
      <c r="O9" s="188" t="s">
        <v>299</v>
      </c>
      <c r="P9" s="188" t="s">
        <v>300</v>
      </c>
      <c r="Q9" s="188" t="s">
        <v>305</v>
      </c>
      <c r="R9" s="188" t="s">
        <v>302</v>
      </c>
      <c r="S9" s="186"/>
    </row>
    <row r="10" spans="1:131" s="79" customFormat="1" ht="51" outlineLevel="1">
      <c r="A10" s="112" t="s">
        <v>357</v>
      </c>
      <c r="B10" s="113" t="s">
        <v>9</v>
      </c>
      <c r="C10" s="103" t="s">
        <v>10</v>
      </c>
      <c r="D10" s="103" t="s">
        <v>481</v>
      </c>
      <c r="E10" s="114" t="s">
        <v>482</v>
      </c>
      <c r="F10" s="392" t="s">
        <v>296</v>
      </c>
      <c r="G10" s="114" t="s">
        <v>483</v>
      </c>
      <c r="H10" s="115" t="s">
        <v>444</v>
      </c>
      <c r="I10" s="114" t="s">
        <v>484</v>
      </c>
      <c r="J10" s="104" t="s">
        <v>312</v>
      </c>
      <c r="K10" s="130">
        <v>256</v>
      </c>
      <c r="L10" s="130">
        <v>85</v>
      </c>
      <c r="M10" s="102" t="s">
        <v>298</v>
      </c>
      <c r="N10" s="103" t="s">
        <v>397</v>
      </c>
      <c r="O10" s="102" t="s">
        <v>299</v>
      </c>
      <c r="P10" s="102" t="s">
        <v>300</v>
      </c>
      <c r="Q10" s="102" t="s">
        <v>305</v>
      </c>
      <c r="R10" s="102" t="s">
        <v>302</v>
      </c>
      <c r="S10" s="99"/>
    </row>
    <row r="11" spans="1:131" s="79" customFormat="1" ht="136" outlineLevel="1">
      <c r="A11" s="102" t="s">
        <v>357</v>
      </c>
      <c r="B11" s="102" t="s">
        <v>9</v>
      </c>
      <c r="C11" s="103" t="s">
        <v>10</v>
      </c>
      <c r="D11" s="103" t="s">
        <v>485</v>
      </c>
      <c r="E11" s="104" t="s">
        <v>486</v>
      </c>
      <c r="F11" s="393" t="s">
        <v>296</v>
      </c>
      <c r="G11" s="104" t="s">
        <v>345</v>
      </c>
      <c r="H11" s="114" t="s">
        <v>487</v>
      </c>
      <c r="I11" s="104" t="s">
        <v>488</v>
      </c>
      <c r="J11" s="104" t="s">
        <v>312</v>
      </c>
      <c r="K11" s="130">
        <v>120</v>
      </c>
      <c r="L11" s="107">
        <v>16</v>
      </c>
      <c r="M11" s="102" t="s">
        <v>298</v>
      </c>
      <c r="N11" s="103" t="s">
        <v>489</v>
      </c>
      <c r="O11" s="102" t="s">
        <v>299</v>
      </c>
      <c r="P11" s="102" t="s">
        <v>300</v>
      </c>
      <c r="Q11" s="102" t="s">
        <v>305</v>
      </c>
      <c r="R11" s="102" t="s">
        <v>302</v>
      </c>
      <c r="S11" s="99"/>
    </row>
    <row r="12" spans="1:131" s="79" customFormat="1" ht="85" outlineLevel="1">
      <c r="A12" s="99" t="s">
        <v>357</v>
      </c>
      <c r="B12" s="102" t="s">
        <v>9</v>
      </c>
      <c r="C12" s="103" t="s">
        <v>10</v>
      </c>
      <c r="D12" s="103" t="s">
        <v>415</v>
      </c>
      <c r="E12" s="104" t="s">
        <v>391</v>
      </c>
      <c r="F12" s="393" t="s">
        <v>296</v>
      </c>
      <c r="G12" s="104" t="s">
        <v>409</v>
      </c>
      <c r="H12" s="104" t="s">
        <v>414</v>
      </c>
      <c r="I12" s="104" t="s">
        <v>306</v>
      </c>
      <c r="J12" s="127" t="s">
        <v>312</v>
      </c>
      <c r="K12" s="104">
        <v>2</v>
      </c>
      <c r="L12" s="104">
        <v>12</v>
      </c>
      <c r="M12" s="102" t="s">
        <v>298</v>
      </c>
      <c r="N12" s="103" t="s">
        <v>411</v>
      </c>
      <c r="O12" s="102" t="s">
        <v>299</v>
      </c>
      <c r="P12" s="102" t="s">
        <v>300</v>
      </c>
      <c r="Q12" s="102" t="s">
        <v>305</v>
      </c>
      <c r="R12" s="102" t="s">
        <v>302</v>
      </c>
      <c r="S12" s="99"/>
    </row>
    <row r="13" spans="1:131" s="79" customFormat="1" ht="204" customHeight="1" outlineLevel="1">
      <c r="A13" s="102" t="s">
        <v>357</v>
      </c>
      <c r="B13" s="102" t="s">
        <v>9</v>
      </c>
      <c r="C13" s="103" t="s">
        <v>10</v>
      </c>
      <c r="D13" s="103" t="s">
        <v>368</v>
      </c>
      <c r="E13" s="103" t="s">
        <v>359</v>
      </c>
      <c r="F13" s="393" t="s">
        <v>296</v>
      </c>
      <c r="G13" s="103" t="s">
        <v>364</v>
      </c>
      <c r="H13" s="103" t="s">
        <v>369</v>
      </c>
      <c r="I13" s="103" t="s">
        <v>370</v>
      </c>
      <c r="J13" s="127" t="s">
        <v>312</v>
      </c>
      <c r="K13" s="126">
        <f t="shared" ref="K13:L14" si="0">K14+K15+K16+K17+K18+K19+K20+K21+K22+K23+K24+K25+K26</f>
        <v>35</v>
      </c>
      <c r="L13" s="126">
        <f t="shared" si="0"/>
        <v>2880</v>
      </c>
      <c r="M13" s="102" t="s">
        <v>298</v>
      </c>
      <c r="N13" s="103" t="s">
        <v>363</v>
      </c>
      <c r="O13" s="102" t="s">
        <v>299</v>
      </c>
      <c r="P13" s="102" t="s">
        <v>300</v>
      </c>
      <c r="Q13" s="102" t="s">
        <v>305</v>
      </c>
      <c r="R13" s="102" t="s">
        <v>302</v>
      </c>
      <c r="S13" s="102"/>
    </row>
    <row r="14" spans="1:131" s="79" customFormat="1" ht="187" outlineLevel="1">
      <c r="A14" s="102" t="s">
        <v>357</v>
      </c>
      <c r="B14" s="102" t="s">
        <v>9</v>
      </c>
      <c r="C14" s="103" t="s">
        <v>10</v>
      </c>
      <c r="D14" s="103" t="s">
        <v>365</v>
      </c>
      <c r="E14" s="103" t="s">
        <v>359</v>
      </c>
      <c r="F14" s="397" t="s">
        <v>303</v>
      </c>
      <c r="G14" s="103" t="s">
        <v>364</v>
      </c>
      <c r="H14" s="103" t="s">
        <v>366</v>
      </c>
      <c r="I14" s="103" t="s">
        <v>367</v>
      </c>
      <c r="J14" s="127" t="s">
        <v>312</v>
      </c>
      <c r="K14" s="126">
        <f t="shared" si="0"/>
        <v>17.5</v>
      </c>
      <c r="L14" s="126">
        <f t="shared" si="0"/>
        <v>1440</v>
      </c>
      <c r="M14" s="102" t="s">
        <v>298</v>
      </c>
      <c r="N14" s="103" t="s">
        <v>363</v>
      </c>
      <c r="O14" s="102" t="s">
        <v>299</v>
      </c>
      <c r="P14" s="102" t="s">
        <v>300</v>
      </c>
      <c r="Q14" s="102" t="s">
        <v>305</v>
      </c>
      <c r="R14" s="102" t="s">
        <v>302</v>
      </c>
      <c r="S14" s="102"/>
    </row>
    <row r="15" spans="1:131" s="82" customFormat="1" ht="170">
      <c r="A15" s="144" t="s">
        <v>357</v>
      </c>
      <c r="B15" s="144" t="s">
        <v>12</v>
      </c>
      <c r="C15" s="145" t="s">
        <v>13</v>
      </c>
      <c r="D15" s="146" t="s">
        <v>562</v>
      </c>
      <c r="E15" s="146" t="s">
        <v>563</v>
      </c>
      <c r="F15" s="146" t="s">
        <v>303</v>
      </c>
      <c r="G15" s="147" t="s">
        <v>392</v>
      </c>
      <c r="H15" s="148" t="s">
        <v>564</v>
      </c>
      <c r="I15" s="145" t="s">
        <v>565</v>
      </c>
      <c r="J15" s="173" t="s">
        <v>312</v>
      </c>
      <c r="K15" s="174">
        <f>K16+K17+K17+K18+K19+K20+K21+K22+K23+K24</f>
        <v>10.5</v>
      </c>
      <c r="L15" s="174">
        <f>L16+L17+L17+L18+L19+L20+L21+L22+L23+L24</f>
        <v>864</v>
      </c>
      <c r="M15" s="175" t="s">
        <v>298</v>
      </c>
      <c r="N15" s="148" t="s">
        <v>566</v>
      </c>
      <c r="O15" s="175" t="s">
        <v>299</v>
      </c>
      <c r="P15" s="175" t="s">
        <v>300</v>
      </c>
      <c r="Q15" s="175" t="s">
        <v>305</v>
      </c>
      <c r="R15" s="175" t="s">
        <v>302</v>
      </c>
      <c r="S15" s="175"/>
    </row>
    <row r="16" spans="1:131" s="82" customFormat="1" ht="85">
      <c r="A16" s="163" t="s">
        <v>357</v>
      </c>
      <c r="B16" s="164" t="s">
        <v>20</v>
      </c>
      <c r="C16" s="165" t="s">
        <v>21</v>
      </c>
      <c r="D16" s="166" t="s">
        <v>750</v>
      </c>
      <c r="E16" s="166" t="s">
        <v>307</v>
      </c>
      <c r="F16" s="412" t="s">
        <v>1322</v>
      </c>
      <c r="G16" s="166" t="s">
        <v>421</v>
      </c>
      <c r="H16" s="166" t="s">
        <v>751</v>
      </c>
      <c r="I16" s="166" t="s">
        <v>752</v>
      </c>
      <c r="J16" s="185" t="s">
        <v>312</v>
      </c>
      <c r="K16" s="186">
        <f>K17+K18+K19+K20+K21+K22+K23+K24+K25+K26+K27+K28+K29+K30+K31+K32+K34+K35+K36+K37+K38+K39+K40+K41+K42+K43+K44+K45</f>
        <v>3.5</v>
      </c>
      <c r="L16" s="186">
        <f>L17+L18+L19+L20+L21+L22+L23+L24+L25+L26+L27+L28+L29+L30+L31+L32+L34+L35+L36+L37+L38+L39+L40+L41+L42+L43+L44+L45</f>
        <v>288</v>
      </c>
      <c r="M16" s="186" t="s">
        <v>298</v>
      </c>
      <c r="N16" s="185" t="s">
        <v>753</v>
      </c>
      <c r="O16" s="186" t="s">
        <v>299</v>
      </c>
      <c r="P16" s="186" t="s">
        <v>304</v>
      </c>
      <c r="Q16" s="186" t="s">
        <v>301</v>
      </c>
      <c r="R16" s="186" t="s">
        <v>314</v>
      </c>
      <c r="S16" s="186" t="s">
        <v>381</v>
      </c>
    </row>
    <row r="17" spans="1:131" s="84" customFormat="1" ht="68" outlineLevel="1">
      <c r="A17" s="119" t="s">
        <v>357</v>
      </c>
      <c r="B17" s="121" t="s">
        <v>9</v>
      </c>
      <c r="C17" s="103" t="s">
        <v>10</v>
      </c>
      <c r="D17" s="143" t="s">
        <v>558</v>
      </c>
      <c r="E17" s="139" t="s">
        <v>559</v>
      </c>
      <c r="F17" s="411" t="s">
        <v>1322</v>
      </c>
      <c r="G17" s="139" t="s">
        <v>347</v>
      </c>
      <c r="H17" s="139" t="s">
        <v>560</v>
      </c>
      <c r="I17" s="143" t="s">
        <v>561</v>
      </c>
      <c r="J17" s="136" t="s">
        <v>312</v>
      </c>
      <c r="K17" s="171">
        <v>3.5</v>
      </c>
      <c r="L17" s="171">
        <v>288</v>
      </c>
      <c r="M17" s="102" t="s">
        <v>298</v>
      </c>
      <c r="N17" s="103" t="s">
        <v>541</v>
      </c>
      <c r="O17" s="102" t="s">
        <v>299</v>
      </c>
      <c r="P17" s="102" t="s">
        <v>300</v>
      </c>
      <c r="Q17" s="102" t="s">
        <v>305</v>
      </c>
      <c r="R17" s="102" t="s">
        <v>302</v>
      </c>
      <c r="S17" s="99"/>
      <c r="T17" s="79"/>
      <c r="U17" s="79"/>
      <c r="V17" s="79"/>
      <c r="W17" s="79"/>
      <c r="X17" s="79"/>
      <c r="Y17" s="79"/>
      <c r="Z17" s="79"/>
      <c r="AA17" s="79"/>
      <c r="AB17" s="79"/>
      <c r="AC17" s="79"/>
      <c r="AD17" s="79"/>
      <c r="AE17" s="79"/>
      <c r="AF17" s="79"/>
      <c r="AG17" s="79"/>
      <c r="AH17" s="79"/>
      <c r="AI17" s="79"/>
      <c r="AJ17" s="79"/>
      <c r="AK17" s="79"/>
      <c r="AL17" s="79"/>
      <c r="AM17" s="79"/>
      <c r="AN17" s="79"/>
      <c r="AO17" s="79"/>
      <c r="AP17" s="79"/>
      <c r="AQ17" s="79"/>
      <c r="AR17" s="79"/>
      <c r="AS17" s="79"/>
      <c r="AT17" s="79"/>
      <c r="AU17" s="79"/>
      <c r="AV17" s="79"/>
      <c r="AW17" s="79"/>
      <c r="AX17" s="79"/>
      <c r="AY17" s="79"/>
      <c r="AZ17" s="79"/>
      <c r="BA17" s="79"/>
      <c r="BB17" s="79"/>
      <c r="BC17" s="79"/>
      <c r="BD17" s="79"/>
      <c r="BE17" s="79"/>
      <c r="BF17" s="79"/>
      <c r="BG17" s="79"/>
      <c r="BH17" s="79"/>
      <c r="BI17" s="79"/>
      <c r="BJ17" s="79"/>
      <c r="BK17" s="79"/>
      <c r="BL17" s="79"/>
      <c r="BM17" s="79"/>
      <c r="BN17" s="79"/>
      <c r="BO17" s="79"/>
      <c r="BP17" s="79"/>
      <c r="BQ17" s="79"/>
      <c r="BR17" s="79"/>
      <c r="BS17" s="79"/>
      <c r="BT17" s="79"/>
      <c r="BU17" s="79"/>
      <c r="BV17" s="79"/>
      <c r="BW17" s="79"/>
      <c r="BX17" s="79"/>
      <c r="BY17" s="79"/>
      <c r="BZ17" s="79"/>
      <c r="CA17" s="79"/>
      <c r="CB17" s="79"/>
      <c r="CC17" s="79"/>
      <c r="CD17" s="79"/>
      <c r="CE17" s="79"/>
      <c r="CF17" s="79"/>
      <c r="CG17" s="79"/>
      <c r="CH17" s="79"/>
      <c r="CI17" s="79"/>
      <c r="CJ17" s="79"/>
      <c r="CK17" s="79"/>
      <c r="CL17" s="79"/>
      <c r="CM17" s="79"/>
      <c r="CN17" s="79"/>
      <c r="CO17" s="79"/>
      <c r="CP17" s="79"/>
      <c r="CQ17" s="79"/>
      <c r="CR17" s="79"/>
      <c r="CS17" s="79"/>
      <c r="CT17" s="79"/>
      <c r="CU17" s="79"/>
      <c r="CV17" s="79"/>
      <c r="CW17" s="79"/>
      <c r="CX17" s="79"/>
      <c r="CY17" s="79"/>
      <c r="CZ17" s="79"/>
      <c r="DA17" s="79"/>
      <c r="DB17" s="79"/>
      <c r="DC17" s="79"/>
      <c r="DD17" s="79"/>
      <c r="DE17" s="79"/>
      <c r="DF17" s="79"/>
      <c r="DG17" s="79"/>
      <c r="DH17" s="79"/>
      <c r="DI17" s="79"/>
      <c r="DJ17" s="79"/>
      <c r="DK17" s="79"/>
      <c r="DL17" s="79"/>
      <c r="DM17" s="79"/>
      <c r="DN17" s="79"/>
      <c r="DO17" s="79"/>
      <c r="DP17" s="79"/>
      <c r="DQ17" s="79"/>
      <c r="DR17" s="79"/>
      <c r="DS17" s="79"/>
      <c r="DT17" s="79"/>
      <c r="DU17" s="79"/>
      <c r="DV17" s="79"/>
      <c r="DW17" s="79"/>
      <c r="DX17" s="79"/>
      <c r="DY17" s="79"/>
      <c r="DZ17" s="79"/>
      <c r="EA17" s="79"/>
    </row>
  </sheetData>
  <mergeCells count="1">
    <mergeCell ref="A6:C6"/>
  </mergeCells>
  <dataValidations count="9">
    <dataValidation type="list" allowBlank="1" showInputMessage="1" showErrorMessage="1" sqref="A9:A17" xr:uid="{D5661F02-A0C9-0147-A874-57912816C64A}">
      <formula1>"МЛХ"</formula1>
    </dataValidation>
    <dataValidation type="list" allowBlank="1" showInputMessage="1" showErrorMessage="1" sqref="F9:F17" xr:uid="{0DD520C1-B5FC-EF46-9125-B7682E15BB97}">
      <formula1>"в очереди на исследование, идет исследование, в очереди на реинжиниринг, проходит реинжиниринг, прошёл реинжиниринг"</formula1>
    </dataValidation>
    <dataValidation type="list" allowBlank="1" showInputMessage="1" showErrorMessage="1" sqref="J9:J17" xr:uid="{6233C4A4-43E0-2047-8637-7B54BC02E120}">
      <formula1>"основной, вспомогательный, управленческий"</formula1>
    </dataValidation>
    <dataValidation type="list" allowBlank="1" showInputMessage="1" showErrorMessage="1" sqref="M9:M17" xr:uid="{E7F35180-B676-E246-AABA-F70913F396C0}">
      <formula1>"сквозной, несквозной"</formula1>
    </dataValidation>
    <dataValidation type="list" allowBlank="1" showInputMessage="1" showErrorMessage="1" sqref="O9:O17" xr:uid="{9F5582AE-FB7C-6B48-BA6D-6B65A748B1A1}">
      <formula1>"владелец, соисполнитель"</formula1>
    </dataValidation>
    <dataValidation type="list" allowBlank="1" showInputMessage="1" showErrorMessage="1" sqref="P9:P17" xr:uid="{29094861-7F19-EE4D-9B7D-52AA1E132BF0}">
      <formula1>"бумажный, безбумажный"</formula1>
    </dataValidation>
    <dataValidation type="list" allowBlank="1" showInputMessage="1" showErrorMessage="1" sqref="Q9:Q17" xr:uid="{FE1609A6-ED4C-9B44-8DF2-214DF68985B3}">
      <formula1>"цифровой, нецифровой, частично цифровой"</formula1>
    </dataValidation>
    <dataValidation type="list" allowBlank="1" showInputMessage="1" showErrorMessage="1" sqref="R9:R17" xr:uid="{7494CE24-D23F-4B4F-B01D-2C58C6016218}">
      <formula1>"машиночитаемый, немашиночитаемый"</formula1>
    </dataValidation>
    <dataValidation type="list" allowBlank="1" showInputMessage="1" showErrorMessage="1" sqref="B9:C17" xr:uid="{B69A2D7A-8A3C-814A-BD53-FC7F64F674A4}"/>
  </dataValidations>
  <hyperlinks>
    <hyperlink ref="D1" location="'Наименование ОГВ'!A1" display="Наименование ОГВ'!A1" xr:uid="{C9E439D8-8347-2049-BD11-35AC442AF055}"/>
  </hyperlink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Лист35">
    <outlinePr summaryBelow="0"/>
  </sheetPr>
  <dimension ref="A1:M187"/>
  <sheetViews>
    <sheetView zoomScale="80" zoomScaleNormal="80" workbookViewId="0">
      <selection activeCell="D1" sqref="D1:D1048576"/>
    </sheetView>
  </sheetViews>
  <sheetFormatPr baseColWidth="10" defaultColWidth="8.83203125" defaultRowHeight="15" outlineLevelRow="1"/>
  <cols>
    <col min="1" max="2" width="12.83203125" style="17" customWidth="1"/>
    <col min="3" max="3" width="17.83203125" style="17" customWidth="1"/>
    <col min="4" max="4" width="50.83203125" style="17" customWidth="1"/>
    <col min="5" max="5" width="25.83203125" style="17" customWidth="1"/>
    <col min="6" max="6" width="15.1640625" style="17" customWidth="1"/>
    <col min="7" max="9" width="20.5" style="17" customWidth="1"/>
    <col min="10" max="12" width="15.83203125" style="17" customWidth="1"/>
    <col min="13" max="16384" width="8.83203125" style="17"/>
  </cols>
  <sheetData>
    <row r="1" spans="1:13" s="14" customFormat="1" ht="21">
      <c r="A1" s="18" t="s">
        <v>272</v>
      </c>
      <c r="B1" s="18"/>
      <c r="C1" s="18"/>
      <c r="D1" s="19"/>
      <c r="E1" s="19"/>
      <c r="L1" s="42"/>
      <c r="M1" s="43"/>
    </row>
    <row r="2" spans="1:13" s="14" customFormat="1" ht="16">
      <c r="A2" s="20" t="s">
        <v>273</v>
      </c>
      <c r="B2" s="20"/>
      <c r="C2" s="20"/>
      <c r="D2" s="21" t="s">
        <v>1240</v>
      </c>
      <c r="E2" s="21"/>
    </row>
    <row r="3" spans="1:13" s="14" customFormat="1" ht="16">
      <c r="A3" s="20" t="s">
        <v>274</v>
      </c>
      <c r="B3" s="20"/>
      <c r="C3" s="20"/>
      <c r="D3" s="21"/>
    </row>
    <row r="4" spans="1:13" s="14" customFormat="1" ht="16">
      <c r="A4" s="20" t="s">
        <v>275</v>
      </c>
      <c r="B4" s="20"/>
      <c r="C4" s="20"/>
      <c r="D4" s="22">
        <v>45834</v>
      </c>
    </row>
    <row r="5" spans="1:13" s="14" customFormat="1" ht="16"/>
    <row r="6" spans="1:13" s="14" customFormat="1" ht="15.75" customHeight="1">
      <c r="A6" s="428" t="s">
        <v>276</v>
      </c>
      <c r="B6" s="428"/>
      <c r="C6" s="428"/>
    </row>
    <row r="7" spans="1:13" s="15" customFormat="1" ht="81" customHeight="1">
      <c r="A7" s="23" t="s">
        <v>1072</v>
      </c>
      <c r="B7" s="23" t="s">
        <v>278</v>
      </c>
      <c r="C7" s="23" t="s">
        <v>279</v>
      </c>
      <c r="D7" s="23" t="s">
        <v>280</v>
      </c>
      <c r="E7" s="23" t="s">
        <v>281</v>
      </c>
      <c r="F7" s="23" t="s">
        <v>282</v>
      </c>
      <c r="G7" s="23" t="s">
        <v>185</v>
      </c>
      <c r="H7" s="23" t="s">
        <v>284</v>
      </c>
      <c r="I7" s="23" t="s">
        <v>285</v>
      </c>
      <c r="J7" s="23" t="s">
        <v>1073</v>
      </c>
      <c r="K7" s="23" t="s">
        <v>1077</v>
      </c>
      <c r="L7" s="23" t="s">
        <v>288</v>
      </c>
    </row>
    <row r="8" spans="1:13" ht="33" customHeight="1" collapsed="1">
      <c r="A8" s="24" t="s">
        <v>1229</v>
      </c>
      <c r="B8" s="25" t="s">
        <v>9</v>
      </c>
      <c r="C8" s="25" t="s">
        <v>1078</v>
      </c>
      <c r="D8" s="25" t="s">
        <v>1081</v>
      </c>
      <c r="E8" s="26" t="s">
        <v>1082</v>
      </c>
      <c r="F8" s="27" t="s">
        <v>303</v>
      </c>
      <c r="G8" s="28"/>
      <c r="H8" s="28"/>
      <c r="I8" s="28"/>
      <c r="J8" s="28"/>
      <c r="K8" s="28"/>
      <c r="L8" s="28"/>
      <c r="M8" s="16"/>
    </row>
    <row r="9" spans="1:13" ht="29.25" hidden="1" customHeight="1" outlineLevel="1">
      <c r="A9" s="29" t="s">
        <v>1229</v>
      </c>
      <c r="B9" s="30" t="s">
        <v>9</v>
      </c>
      <c r="C9" s="30" t="s">
        <v>1078</v>
      </c>
      <c r="D9" s="31" t="s">
        <v>1083</v>
      </c>
      <c r="E9" s="31" t="s">
        <v>1082</v>
      </c>
      <c r="F9" s="32" t="s">
        <v>303</v>
      </c>
      <c r="G9" s="33"/>
      <c r="H9" s="33"/>
      <c r="I9" s="33"/>
      <c r="J9" s="33"/>
      <c r="K9" s="33"/>
      <c r="L9" s="28"/>
      <c r="M9" s="16"/>
    </row>
    <row r="10" spans="1:13" ht="29.25" hidden="1" customHeight="1" outlineLevel="1">
      <c r="A10" s="29" t="s">
        <v>1229</v>
      </c>
      <c r="B10" s="30" t="s">
        <v>9</v>
      </c>
      <c r="C10" s="30" t="s">
        <v>1078</v>
      </c>
      <c r="D10" s="31" t="s">
        <v>1241</v>
      </c>
      <c r="E10" s="31" t="s">
        <v>1082</v>
      </c>
      <c r="F10" s="32" t="s">
        <v>303</v>
      </c>
      <c r="G10" s="33"/>
      <c r="H10" s="33"/>
      <c r="I10" s="33"/>
      <c r="J10" s="33"/>
      <c r="K10" s="33"/>
      <c r="L10" s="28"/>
      <c r="M10" s="16"/>
    </row>
    <row r="11" spans="1:13" ht="29.25" hidden="1" customHeight="1" outlineLevel="1">
      <c r="A11" s="29" t="s">
        <v>1229</v>
      </c>
      <c r="B11" s="30" t="s">
        <v>9</v>
      </c>
      <c r="C11" s="30" t="s">
        <v>1078</v>
      </c>
      <c r="D11" s="31" t="s">
        <v>1084</v>
      </c>
      <c r="E11" s="31" t="s">
        <v>1082</v>
      </c>
      <c r="F11" s="32" t="s">
        <v>303</v>
      </c>
      <c r="G11" s="33"/>
      <c r="H11" s="33"/>
      <c r="I11" s="33"/>
      <c r="J11" s="33"/>
      <c r="K11" s="33"/>
      <c r="L11" s="28"/>
      <c r="M11" s="16"/>
    </row>
    <row r="12" spans="1:13" ht="29.25" hidden="1" customHeight="1" outlineLevel="1">
      <c r="A12" s="29" t="s">
        <v>1229</v>
      </c>
      <c r="B12" s="30" t="s">
        <v>9</v>
      </c>
      <c r="C12" s="30" t="s">
        <v>1078</v>
      </c>
      <c r="D12" s="31" t="s">
        <v>1242</v>
      </c>
      <c r="E12" s="31" t="s">
        <v>1082</v>
      </c>
      <c r="F12" s="32" t="s">
        <v>303</v>
      </c>
      <c r="G12" s="33"/>
      <c r="H12" s="33"/>
      <c r="I12" s="33"/>
      <c r="J12" s="33"/>
      <c r="K12" s="33"/>
      <c r="L12" s="28"/>
      <c r="M12" s="16"/>
    </row>
    <row r="13" spans="1:13" ht="29.25" hidden="1" customHeight="1" outlineLevel="1">
      <c r="A13" s="29" t="s">
        <v>1229</v>
      </c>
      <c r="B13" s="30" t="s">
        <v>9</v>
      </c>
      <c r="C13" s="30" t="s">
        <v>1078</v>
      </c>
      <c r="D13" s="31" t="s">
        <v>1085</v>
      </c>
      <c r="E13" s="31" t="s">
        <v>1082</v>
      </c>
      <c r="F13" s="32" t="s">
        <v>303</v>
      </c>
      <c r="G13" s="33"/>
      <c r="H13" s="33"/>
      <c r="I13" s="33"/>
      <c r="J13" s="33"/>
      <c r="K13" s="33"/>
      <c r="L13" s="28"/>
      <c r="M13" s="16"/>
    </row>
    <row r="14" spans="1:13" ht="29.25" hidden="1" customHeight="1" outlineLevel="1">
      <c r="A14" s="29" t="s">
        <v>1229</v>
      </c>
      <c r="B14" s="30" t="s">
        <v>9</v>
      </c>
      <c r="C14" s="30" t="s">
        <v>1078</v>
      </c>
      <c r="D14" s="31" t="s">
        <v>1086</v>
      </c>
      <c r="E14" s="31" t="s">
        <v>1082</v>
      </c>
      <c r="F14" s="32" t="s">
        <v>303</v>
      </c>
      <c r="G14" s="33"/>
      <c r="H14" s="33"/>
      <c r="I14" s="33"/>
      <c r="J14" s="33"/>
      <c r="K14" s="33"/>
      <c r="L14" s="28"/>
      <c r="M14" s="16"/>
    </row>
    <row r="15" spans="1:13" ht="29.25" hidden="1" customHeight="1" outlineLevel="1">
      <c r="A15" s="29" t="s">
        <v>1229</v>
      </c>
      <c r="B15" s="30" t="s">
        <v>9</v>
      </c>
      <c r="C15" s="30" t="s">
        <v>1078</v>
      </c>
      <c r="D15" s="31" t="s">
        <v>1087</v>
      </c>
      <c r="E15" s="31" t="s">
        <v>1082</v>
      </c>
      <c r="F15" s="32" t="s">
        <v>303</v>
      </c>
      <c r="G15" s="33"/>
      <c r="H15" s="33"/>
      <c r="I15" s="33"/>
      <c r="J15" s="33"/>
      <c r="K15" s="33"/>
      <c r="L15" s="28"/>
      <c r="M15" s="16"/>
    </row>
    <row r="16" spans="1:13" ht="29.25" customHeight="1" collapsed="1">
      <c r="A16" s="29" t="s">
        <v>1229</v>
      </c>
      <c r="B16" s="30" t="s">
        <v>9</v>
      </c>
      <c r="C16" s="30" t="s">
        <v>1078</v>
      </c>
      <c r="D16" s="30" t="s">
        <v>1243</v>
      </c>
      <c r="E16" s="31" t="s">
        <v>1137</v>
      </c>
      <c r="F16" s="34" t="s">
        <v>342</v>
      </c>
      <c r="G16" s="33"/>
      <c r="H16" s="33"/>
      <c r="I16" s="33"/>
      <c r="J16" s="33"/>
      <c r="K16" s="33"/>
      <c r="L16" s="28"/>
      <c r="M16" s="16"/>
    </row>
    <row r="17" spans="1:13" ht="34.5" customHeight="1" collapsed="1">
      <c r="A17" s="29" t="s">
        <v>1229</v>
      </c>
      <c r="B17" s="30" t="s">
        <v>9</v>
      </c>
      <c r="C17" s="30" t="s">
        <v>1078</v>
      </c>
      <c r="D17" s="30" t="s">
        <v>1088</v>
      </c>
      <c r="E17" s="31" t="s">
        <v>1082</v>
      </c>
      <c r="F17" s="32" t="s">
        <v>341</v>
      </c>
      <c r="G17" s="33"/>
      <c r="H17" s="33"/>
      <c r="I17" s="33"/>
      <c r="J17" s="33"/>
      <c r="K17" s="33"/>
      <c r="L17" s="28"/>
      <c r="M17" s="16"/>
    </row>
    <row r="18" spans="1:13" s="16" customFormat="1" ht="23.25" hidden="1" customHeight="1" outlineLevel="1">
      <c r="A18" s="29" t="s">
        <v>1229</v>
      </c>
      <c r="B18" s="30" t="s">
        <v>9</v>
      </c>
      <c r="C18" s="30" t="s">
        <v>1078</v>
      </c>
      <c r="D18" s="31" t="s">
        <v>1089</v>
      </c>
      <c r="E18" s="31" t="s">
        <v>1082</v>
      </c>
      <c r="F18" s="32" t="s">
        <v>341</v>
      </c>
      <c r="G18" s="33"/>
      <c r="H18" s="33"/>
      <c r="I18" s="33"/>
      <c r="J18" s="33"/>
      <c r="K18" s="33"/>
      <c r="L18" s="28"/>
    </row>
    <row r="19" spans="1:13" s="16" customFormat="1" ht="30" hidden="1" customHeight="1" outlineLevel="1">
      <c r="A19" s="29" t="s">
        <v>1229</v>
      </c>
      <c r="B19" s="30" t="s">
        <v>9</v>
      </c>
      <c r="C19" s="30" t="s">
        <v>1078</v>
      </c>
      <c r="D19" s="31" t="s">
        <v>1090</v>
      </c>
      <c r="E19" s="31" t="s">
        <v>1082</v>
      </c>
      <c r="F19" s="32" t="s">
        <v>341</v>
      </c>
      <c r="G19" s="33"/>
      <c r="H19" s="33"/>
      <c r="I19" s="33"/>
      <c r="J19" s="33"/>
      <c r="K19" s="33"/>
      <c r="L19" s="28"/>
    </row>
    <row r="20" spans="1:13" s="16" customFormat="1" ht="27" hidden="1" customHeight="1" outlineLevel="1">
      <c r="A20" s="29" t="s">
        <v>1229</v>
      </c>
      <c r="B20" s="30" t="s">
        <v>9</v>
      </c>
      <c r="C20" s="30" t="s">
        <v>1078</v>
      </c>
      <c r="D20" s="31" t="s">
        <v>1091</v>
      </c>
      <c r="E20" s="31" t="s">
        <v>1082</v>
      </c>
      <c r="F20" s="32" t="s">
        <v>341</v>
      </c>
      <c r="G20" s="33"/>
      <c r="H20" s="33"/>
      <c r="I20" s="33"/>
      <c r="J20" s="33"/>
      <c r="K20" s="33"/>
      <c r="L20" s="28"/>
    </row>
    <row r="21" spans="1:13" s="16" customFormat="1" ht="29.25" hidden="1" customHeight="1" outlineLevel="1">
      <c r="A21" s="29" t="s">
        <v>1229</v>
      </c>
      <c r="B21" s="30" t="s">
        <v>9</v>
      </c>
      <c r="C21" s="30" t="s">
        <v>1078</v>
      </c>
      <c r="D21" s="31" t="s">
        <v>1092</v>
      </c>
      <c r="E21" s="31" t="s">
        <v>1082</v>
      </c>
      <c r="F21" s="32" t="s">
        <v>341</v>
      </c>
      <c r="G21" s="33"/>
      <c r="H21" s="33"/>
      <c r="I21" s="33"/>
      <c r="J21" s="33"/>
      <c r="K21" s="33"/>
      <c r="L21" s="28"/>
    </row>
    <row r="22" spans="1:13" s="16" customFormat="1" ht="36.75" customHeight="1" collapsed="1">
      <c r="A22" s="35" t="s">
        <v>1229</v>
      </c>
      <c r="B22" s="30" t="s">
        <v>9</v>
      </c>
      <c r="C22" s="30" t="s">
        <v>1078</v>
      </c>
      <c r="D22" s="30" t="s">
        <v>1160</v>
      </c>
      <c r="E22" s="31" t="s">
        <v>1082</v>
      </c>
      <c r="F22" s="32" t="s">
        <v>303</v>
      </c>
      <c r="G22" s="33"/>
      <c r="H22" s="33"/>
      <c r="I22" s="33"/>
      <c r="J22" s="33"/>
      <c r="K22" s="33"/>
      <c r="L22" s="28"/>
    </row>
    <row r="23" spans="1:13" ht="14.75" hidden="1" customHeight="1" outlineLevel="1">
      <c r="A23" s="29" t="s">
        <v>1229</v>
      </c>
      <c r="B23" s="30" t="s">
        <v>9</v>
      </c>
      <c r="C23" s="30" t="s">
        <v>1078</v>
      </c>
      <c r="D23" s="31" t="s">
        <v>1161</v>
      </c>
      <c r="E23" s="31" t="s">
        <v>1082</v>
      </c>
      <c r="F23" s="33"/>
      <c r="G23" s="33"/>
      <c r="H23" s="33"/>
      <c r="I23" s="33"/>
      <c r="J23" s="33"/>
      <c r="K23" s="33"/>
      <c r="L23" s="28"/>
      <c r="M23" s="16"/>
    </row>
    <row r="24" spans="1:13" ht="14.75" hidden="1" customHeight="1" outlineLevel="1">
      <c r="A24" s="29" t="s">
        <v>1229</v>
      </c>
      <c r="B24" s="30" t="s">
        <v>9</v>
      </c>
      <c r="C24" s="30" t="s">
        <v>1078</v>
      </c>
      <c r="D24" s="31" t="s">
        <v>1162</v>
      </c>
      <c r="E24" s="31" t="s">
        <v>1082</v>
      </c>
      <c r="F24" s="33"/>
      <c r="G24" s="33"/>
      <c r="H24" s="33"/>
      <c r="I24" s="33"/>
      <c r="J24" s="33"/>
      <c r="K24" s="33"/>
      <c r="L24" s="28"/>
      <c r="M24" s="16"/>
    </row>
    <row r="25" spans="1:13" ht="14.75" hidden="1" customHeight="1" outlineLevel="1">
      <c r="A25" s="29" t="s">
        <v>1229</v>
      </c>
      <c r="B25" s="30" t="s">
        <v>9</v>
      </c>
      <c r="C25" s="30" t="s">
        <v>1078</v>
      </c>
      <c r="D25" s="31" t="s">
        <v>1163</v>
      </c>
      <c r="E25" s="31" t="s">
        <v>1082</v>
      </c>
      <c r="F25" s="33"/>
      <c r="G25" s="33"/>
      <c r="H25" s="33"/>
      <c r="I25" s="33"/>
      <c r="J25" s="33"/>
      <c r="K25" s="33"/>
      <c r="L25" s="28"/>
      <c r="M25" s="16"/>
    </row>
    <row r="26" spans="1:13" ht="14.75" hidden="1" customHeight="1" outlineLevel="1">
      <c r="A26" s="29" t="s">
        <v>1229</v>
      </c>
      <c r="B26" s="30" t="s">
        <v>9</v>
      </c>
      <c r="C26" s="30" t="s">
        <v>1078</v>
      </c>
      <c r="D26" s="31" t="s">
        <v>1164</v>
      </c>
      <c r="E26" s="31" t="s">
        <v>1082</v>
      </c>
      <c r="F26" s="33"/>
      <c r="G26" s="33"/>
      <c r="H26" s="33"/>
      <c r="I26" s="33"/>
      <c r="J26" s="33"/>
      <c r="K26" s="33"/>
      <c r="L26" s="28"/>
      <c r="M26" s="16"/>
    </row>
    <row r="27" spans="1:13" ht="32" collapsed="1">
      <c r="A27" s="29" t="s">
        <v>1229</v>
      </c>
      <c r="B27" s="30" t="s">
        <v>9</v>
      </c>
      <c r="C27" s="30" t="s">
        <v>1078</v>
      </c>
      <c r="D27" s="30" t="s">
        <v>1093</v>
      </c>
      <c r="E27" s="31" t="s">
        <v>1082</v>
      </c>
      <c r="F27" s="32" t="s">
        <v>303</v>
      </c>
      <c r="G27" s="33"/>
      <c r="H27" s="33"/>
      <c r="I27" s="33"/>
      <c r="J27" s="33"/>
      <c r="K27" s="33"/>
      <c r="L27" s="28"/>
      <c r="M27" s="16"/>
    </row>
    <row r="28" spans="1:13" ht="29.25" hidden="1" customHeight="1" outlineLevel="1">
      <c r="A28" s="29" t="s">
        <v>1229</v>
      </c>
      <c r="B28" s="30" t="s">
        <v>9</v>
      </c>
      <c r="C28" s="30" t="s">
        <v>1078</v>
      </c>
      <c r="D28" s="31" t="s">
        <v>1094</v>
      </c>
      <c r="E28" s="31" t="s">
        <v>1082</v>
      </c>
      <c r="F28" s="32" t="s">
        <v>303</v>
      </c>
      <c r="G28" s="33"/>
      <c r="H28" s="33"/>
      <c r="I28" s="33"/>
      <c r="J28" s="33"/>
      <c r="K28" s="33"/>
      <c r="L28" s="28"/>
      <c r="M28" s="16"/>
    </row>
    <row r="29" spans="1:13" ht="29.25" customHeight="1" collapsed="1">
      <c r="A29" s="35" t="s">
        <v>1229</v>
      </c>
      <c r="B29" s="30" t="s">
        <v>5</v>
      </c>
      <c r="C29" s="30" t="s">
        <v>1076</v>
      </c>
      <c r="D29" s="30" t="s">
        <v>1095</v>
      </c>
      <c r="E29" s="31" t="s">
        <v>1082</v>
      </c>
      <c r="F29" s="32" t="s">
        <v>303</v>
      </c>
      <c r="G29" s="33"/>
      <c r="H29" s="33"/>
      <c r="I29" s="33"/>
      <c r="J29" s="33"/>
      <c r="K29" s="33"/>
      <c r="L29" s="28"/>
      <c r="M29" s="16"/>
    </row>
    <row r="30" spans="1:13" ht="29.25" hidden="1" customHeight="1" outlineLevel="1">
      <c r="A30" s="35" t="s">
        <v>1229</v>
      </c>
      <c r="B30" s="30" t="s">
        <v>5</v>
      </c>
      <c r="C30" s="30" t="s">
        <v>1076</v>
      </c>
      <c r="D30" s="31" t="s">
        <v>1244</v>
      </c>
      <c r="E30" s="31" t="s">
        <v>1082</v>
      </c>
      <c r="F30" s="32" t="s">
        <v>303</v>
      </c>
      <c r="G30" s="33"/>
      <c r="H30" s="33"/>
      <c r="I30" s="33"/>
      <c r="J30" s="33"/>
      <c r="K30" s="33"/>
      <c r="L30" s="28"/>
      <c r="M30" s="16"/>
    </row>
    <row r="31" spans="1:13" ht="29.25" hidden="1" customHeight="1" outlineLevel="1">
      <c r="A31" s="35" t="s">
        <v>1229</v>
      </c>
      <c r="B31" s="30" t="s">
        <v>5</v>
      </c>
      <c r="C31" s="30" t="s">
        <v>1076</v>
      </c>
      <c r="D31" s="31" t="s">
        <v>1096</v>
      </c>
      <c r="E31" s="31" t="s">
        <v>1082</v>
      </c>
      <c r="F31" s="32" t="s">
        <v>303</v>
      </c>
      <c r="G31" s="33"/>
      <c r="H31" s="33"/>
      <c r="I31" s="33"/>
      <c r="J31" s="33"/>
      <c r="K31" s="33"/>
      <c r="L31" s="28"/>
      <c r="M31" s="16"/>
    </row>
    <row r="32" spans="1:13" ht="29.25" hidden="1" customHeight="1" outlineLevel="1">
      <c r="A32" s="35" t="s">
        <v>1229</v>
      </c>
      <c r="B32" s="30" t="s">
        <v>5</v>
      </c>
      <c r="C32" s="30" t="s">
        <v>1076</v>
      </c>
      <c r="D32" s="31" t="s">
        <v>1097</v>
      </c>
      <c r="E32" s="31" t="s">
        <v>1082</v>
      </c>
      <c r="F32" s="32" t="s">
        <v>303</v>
      </c>
      <c r="G32" s="33"/>
      <c r="H32" s="33"/>
      <c r="I32" s="33"/>
      <c r="J32" s="33"/>
      <c r="K32" s="33"/>
      <c r="L32" s="28"/>
      <c r="M32" s="16"/>
    </row>
    <row r="33" spans="1:13" ht="29.25" hidden="1" customHeight="1" outlineLevel="1">
      <c r="A33" s="35" t="s">
        <v>1229</v>
      </c>
      <c r="B33" s="30" t="s">
        <v>5</v>
      </c>
      <c r="C33" s="30" t="s">
        <v>1076</v>
      </c>
      <c r="D33" s="31" t="s">
        <v>1098</v>
      </c>
      <c r="E33" s="31" t="s">
        <v>1082</v>
      </c>
      <c r="F33" s="32" t="s">
        <v>303</v>
      </c>
      <c r="G33" s="33"/>
      <c r="H33" s="33"/>
      <c r="I33" s="33"/>
      <c r="J33" s="33"/>
      <c r="K33" s="33"/>
      <c r="L33" s="28"/>
      <c r="M33" s="16"/>
    </row>
    <row r="34" spans="1:13" ht="32" collapsed="1">
      <c r="A34" s="35" t="s">
        <v>1229</v>
      </c>
      <c r="B34" s="30" t="s">
        <v>9</v>
      </c>
      <c r="C34" s="30" t="s">
        <v>1078</v>
      </c>
      <c r="D34" s="30" t="s">
        <v>1099</v>
      </c>
      <c r="E34" s="31" t="s">
        <v>1100</v>
      </c>
      <c r="F34" s="32" t="s">
        <v>341</v>
      </c>
      <c r="G34" s="33"/>
      <c r="H34" s="33"/>
      <c r="I34" s="33"/>
      <c r="J34" s="33"/>
      <c r="K34" s="33"/>
      <c r="L34" s="28"/>
      <c r="M34" s="16"/>
    </row>
    <row r="35" spans="1:13" ht="29.25" hidden="1" customHeight="1" outlineLevel="1">
      <c r="A35" s="35" t="s">
        <v>1229</v>
      </c>
      <c r="B35" s="30" t="s">
        <v>9</v>
      </c>
      <c r="C35" s="30" t="s">
        <v>1078</v>
      </c>
      <c r="D35" s="31" t="s">
        <v>1101</v>
      </c>
      <c r="E35" s="31" t="s">
        <v>1100</v>
      </c>
      <c r="F35" s="32" t="s">
        <v>341</v>
      </c>
      <c r="G35" s="33"/>
      <c r="H35" s="33"/>
      <c r="I35" s="33"/>
      <c r="J35" s="33"/>
      <c r="K35" s="33"/>
      <c r="L35" s="28"/>
      <c r="M35" s="16"/>
    </row>
    <row r="36" spans="1:13" ht="29.25" hidden="1" customHeight="1" outlineLevel="1">
      <c r="A36" s="35" t="s">
        <v>1229</v>
      </c>
      <c r="B36" s="30" t="s">
        <v>9</v>
      </c>
      <c r="C36" s="30" t="s">
        <v>1078</v>
      </c>
      <c r="D36" s="31" t="s">
        <v>1102</v>
      </c>
      <c r="E36" s="31" t="s">
        <v>1100</v>
      </c>
      <c r="F36" s="32" t="s">
        <v>341</v>
      </c>
      <c r="G36" s="33"/>
      <c r="H36" s="33"/>
      <c r="I36" s="33"/>
      <c r="J36" s="33"/>
      <c r="K36" s="33"/>
      <c r="L36" s="28"/>
      <c r="M36" s="16"/>
    </row>
    <row r="37" spans="1:13" ht="29.25" hidden="1" customHeight="1" outlineLevel="1">
      <c r="A37" s="35" t="s">
        <v>1229</v>
      </c>
      <c r="B37" s="30" t="s">
        <v>9</v>
      </c>
      <c r="C37" s="30" t="s">
        <v>1078</v>
      </c>
      <c r="D37" s="31" t="s">
        <v>1103</v>
      </c>
      <c r="E37" s="31" t="s">
        <v>1100</v>
      </c>
      <c r="F37" s="32" t="s">
        <v>341</v>
      </c>
      <c r="G37" s="33"/>
      <c r="H37" s="33"/>
      <c r="I37" s="33"/>
      <c r="J37" s="33"/>
      <c r="K37" s="33"/>
      <c r="L37" s="28"/>
      <c r="M37" s="16"/>
    </row>
    <row r="38" spans="1:13" ht="29.25" hidden="1" customHeight="1" outlineLevel="1">
      <c r="A38" s="35" t="s">
        <v>1229</v>
      </c>
      <c r="B38" s="30" t="s">
        <v>9</v>
      </c>
      <c r="C38" s="30" t="s">
        <v>1078</v>
      </c>
      <c r="D38" s="31" t="s">
        <v>1104</v>
      </c>
      <c r="E38" s="31" t="s">
        <v>1100</v>
      </c>
      <c r="F38" s="32" t="s">
        <v>341</v>
      </c>
      <c r="G38" s="33"/>
      <c r="H38" s="33"/>
      <c r="I38" s="33"/>
      <c r="J38" s="33"/>
      <c r="K38" s="33"/>
      <c r="L38" s="28"/>
      <c r="M38" s="16"/>
    </row>
    <row r="39" spans="1:13" ht="32" collapsed="1">
      <c r="A39" s="35" t="s">
        <v>1229</v>
      </c>
      <c r="B39" s="30" t="s">
        <v>9</v>
      </c>
      <c r="C39" s="30" t="s">
        <v>1078</v>
      </c>
      <c r="D39" s="30" t="s">
        <v>1105</v>
      </c>
      <c r="E39" s="31" t="s">
        <v>1106</v>
      </c>
      <c r="F39" s="32" t="s">
        <v>341</v>
      </c>
      <c r="G39" s="33"/>
      <c r="H39" s="33"/>
      <c r="I39" s="33"/>
      <c r="J39" s="33"/>
      <c r="K39" s="33"/>
      <c r="L39" s="28"/>
      <c r="M39" s="16"/>
    </row>
    <row r="40" spans="1:13" ht="14.75" hidden="1" customHeight="1" outlineLevel="1">
      <c r="A40" s="29" t="s">
        <v>1229</v>
      </c>
      <c r="B40" s="30" t="s">
        <v>9</v>
      </c>
      <c r="C40" s="30" t="s">
        <v>1078</v>
      </c>
      <c r="D40" s="31" t="s">
        <v>1107</v>
      </c>
      <c r="E40" s="31" t="s">
        <v>1106</v>
      </c>
      <c r="F40" s="33"/>
      <c r="G40" s="33"/>
      <c r="H40" s="33"/>
      <c r="I40" s="33"/>
      <c r="J40" s="33"/>
      <c r="K40" s="33"/>
      <c r="L40" s="28"/>
      <c r="M40" s="16"/>
    </row>
    <row r="41" spans="1:13" ht="29.25" hidden="1" customHeight="1" outlineLevel="1">
      <c r="A41" s="29" t="s">
        <v>1229</v>
      </c>
      <c r="B41" s="30" t="s">
        <v>9</v>
      </c>
      <c r="C41" s="30" t="s">
        <v>1078</v>
      </c>
      <c r="D41" s="36" t="s">
        <v>1108</v>
      </c>
      <c r="E41" s="31" t="s">
        <v>1106</v>
      </c>
      <c r="F41" s="33"/>
      <c r="G41" s="33"/>
      <c r="H41" s="33"/>
      <c r="I41" s="33"/>
      <c r="J41" s="33"/>
      <c r="K41" s="33"/>
      <c r="L41" s="28"/>
      <c r="M41" s="16"/>
    </row>
    <row r="42" spans="1:13" ht="14.75" hidden="1" customHeight="1" outlineLevel="1">
      <c r="A42" s="29" t="s">
        <v>1229</v>
      </c>
      <c r="B42" s="30" t="s">
        <v>9</v>
      </c>
      <c r="C42" s="30" t="s">
        <v>1078</v>
      </c>
      <c r="D42" s="31" t="s">
        <v>1109</v>
      </c>
      <c r="E42" s="31" t="s">
        <v>1106</v>
      </c>
      <c r="F42" s="33"/>
      <c r="G42" s="33"/>
      <c r="H42" s="33"/>
      <c r="I42" s="33"/>
      <c r="J42" s="33"/>
      <c r="K42" s="33"/>
      <c r="L42" s="28"/>
      <c r="M42" s="16"/>
    </row>
    <row r="43" spans="1:13" ht="14.75" hidden="1" customHeight="1" outlineLevel="1">
      <c r="A43" s="29" t="s">
        <v>1229</v>
      </c>
      <c r="B43" s="30" t="s">
        <v>9</v>
      </c>
      <c r="C43" s="30" t="s">
        <v>1078</v>
      </c>
      <c r="D43" s="31" t="s">
        <v>1110</v>
      </c>
      <c r="E43" s="31" t="s">
        <v>1106</v>
      </c>
      <c r="F43" s="33"/>
      <c r="G43" s="33"/>
      <c r="H43" s="33"/>
      <c r="I43" s="33"/>
      <c r="J43" s="33"/>
      <c r="K43" s="33"/>
      <c r="L43" s="28"/>
      <c r="M43" s="16"/>
    </row>
    <row r="44" spans="1:13" ht="40.5" customHeight="1" collapsed="1">
      <c r="A44" s="29" t="s">
        <v>1229</v>
      </c>
      <c r="B44" s="30" t="s">
        <v>9</v>
      </c>
      <c r="C44" s="30" t="s">
        <v>1078</v>
      </c>
      <c r="D44" s="30" t="s">
        <v>1111</v>
      </c>
      <c r="E44" s="31" t="s">
        <v>1082</v>
      </c>
      <c r="F44" s="32" t="s">
        <v>303</v>
      </c>
      <c r="G44" s="33"/>
      <c r="H44" s="33"/>
      <c r="I44" s="33"/>
      <c r="J44" s="33"/>
      <c r="K44" s="33"/>
      <c r="L44" s="28"/>
      <c r="M44" s="16"/>
    </row>
    <row r="45" spans="1:13" ht="14.75" hidden="1" customHeight="1" outlineLevel="1">
      <c r="A45" s="29" t="s">
        <v>1229</v>
      </c>
      <c r="B45" s="30" t="s">
        <v>9</v>
      </c>
      <c r="C45" s="30" t="s">
        <v>1078</v>
      </c>
      <c r="D45" s="31" t="s">
        <v>1112</v>
      </c>
      <c r="E45" s="31" t="s">
        <v>1082</v>
      </c>
      <c r="F45" s="33"/>
      <c r="G45" s="33"/>
      <c r="H45" s="33"/>
      <c r="I45" s="33"/>
      <c r="J45" s="33"/>
      <c r="K45" s="33"/>
      <c r="L45" s="28"/>
      <c r="M45" s="16"/>
    </row>
    <row r="46" spans="1:13" ht="14.75" hidden="1" customHeight="1" outlineLevel="1">
      <c r="A46" s="29" t="s">
        <v>1229</v>
      </c>
      <c r="B46" s="30" t="s">
        <v>9</v>
      </c>
      <c r="C46" s="30" t="s">
        <v>1078</v>
      </c>
      <c r="D46" s="31" t="s">
        <v>1113</v>
      </c>
      <c r="E46" s="31" t="s">
        <v>1082</v>
      </c>
      <c r="F46" s="33"/>
      <c r="G46" s="33"/>
      <c r="H46" s="33"/>
      <c r="I46" s="33"/>
      <c r="J46" s="33"/>
      <c r="K46" s="33"/>
      <c r="L46" s="28"/>
      <c r="M46" s="16"/>
    </row>
    <row r="47" spans="1:13" ht="14.75" hidden="1" customHeight="1" outlineLevel="1">
      <c r="A47" s="29" t="s">
        <v>1229</v>
      </c>
      <c r="B47" s="30" t="s">
        <v>9</v>
      </c>
      <c r="C47" s="30" t="s">
        <v>1078</v>
      </c>
      <c r="D47" s="31" t="s">
        <v>1114</v>
      </c>
      <c r="E47" s="31" t="s">
        <v>1082</v>
      </c>
      <c r="F47" s="33"/>
      <c r="G47" s="33"/>
      <c r="H47" s="33"/>
      <c r="I47" s="33"/>
      <c r="J47" s="33"/>
      <c r="K47" s="33"/>
      <c r="L47" s="28"/>
      <c r="M47" s="16"/>
    </row>
    <row r="48" spans="1:13" ht="31.5" customHeight="1" collapsed="1">
      <c r="A48" s="29" t="s">
        <v>1229</v>
      </c>
      <c r="B48" s="30" t="s">
        <v>9</v>
      </c>
      <c r="C48" s="30" t="s">
        <v>1078</v>
      </c>
      <c r="D48" s="30" t="s">
        <v>1245</v>
      </c>
      <c r="E48" s="31" t="s">
        <v>1082</v>
      </c>
      <c r="F48" s="32" t="s">
        <v>303</v>
      </c>
      <c r="G48" s="33"/>
      <c r="H48" s="33"/>
      <c r="I48" s="33"/>
      <c r="J48" s="33"/>
      <c r="K48" s="33"/>
      <c r="L48" s="28"/>
      <c r="M48" s="16"/>
    </row>
    <row r="49" spans="1:13" ht="31.5" hidden="1" customHeight="1" outlineLevel="1">
      <c r="A49" s="29" t="s">
        <v>1229</v>
      </c>
      <c r="B49" s="30" t="s">
        <v>9</v>
      </c>
      <c r="C49" s="30" t="s">
        <v>1078</v>
      </c>
      <c r="D49" s="31" t="s">
        <v>1246</v>
      </c>
      <c r="E49" s="31" t="s">
        <v>1082</v>
      </c>
      <c r="F49" s="33"/>
      <c r="G49" s="33"/>
      <c r="H49" s="33"/>
      <c r="I49" s="33"/>
      <c r="J49" s="33"/>
      <c r="K49" s="33"/>
      <c r="L49" s="28"/>
      <c r="M49" s="16"/>
    </row>
    <row r="50" spans="1:13" ht="31.5" hidden="1" customHeight="1" outlineLevel="1">
      <c r="A50" s="29" t="s">
        <v>1229</v>
      </c>
      <c r="B50" s="30" t="s">
        <v>9</v>
      </c>
      <c r="C50" s="30" t="s">
        <v>1078</v>
      </c>
      <c r="D50" s="31" t="s">
        <v>1247</v>
      </c>
      <c r="E50" s="31" t="s">
        <v>1082</v>
      </c>
      <c r="F50" s="33"/>
      <c r="G50" s="33"/>
      <c r="H50" s="33"/>
      <c r="I50" s="33"/>
      <c r="J50" s="33"/>
      <c r="K50" s="33"/>
      <c r="L50" s="28"/>
      <c r="M50" s="16"/>
    </row>
    <row r="51" spans="1:13" ht="31.5" hidden="1" customHeight="1" outlineLevel="1">
      <c r="A51" s="29" t="s">
        <v>1229</v>
      </c>
      <c r="B51" s="30" t="s">
        <v>9</v>
      </c>
      <c r="C51" s="30" t="s">
        <v>1078</v>
      </c>
      <c r="D51" s="31" t="s">
        <v>1248</v>
      </c>
      <c r="E51" s="31" t="s">
        <v>1082</v>
      </c>
      <c r="F51" s="33"/>
      <c r="G51" s="33"/>
      <c r="H51" s="33"/>
      <c r="I51" s="33"/>
      <c r="J51" s="33"/>
      <c r="K51" s="33"/>
      <c r="L51" s="28"/>
      <c r="M51" s="16"/>
    </row>
    <row r="52" spans="1:13" ht="43.5" customHeight="1" collapsed="1">
      <c r="A52" s="29" t="s">
        <v>1229</v>
      </c>
      <c r="B52" s="30" t="s">
        <v>9</v>
      </c>
      <c r="C52" s="30" t="s">
        <v>1078</v>
      </c>
      <c r="D52" s="37" t="s">
        <v>1249</v>
      </c>
      <c r="E52" s="31" t="s">
        <v>1137</v>
      </c>
      <c r="F52" s="32" t="s">
        <v>303</v>
      </c>
      <c r="G52" s="33"/>
      <c r="H52" s="33"/>
      <c r="I52" s="33"/>
      <c r="J52" s="33"/>
      <c r="K52" s="33"/>
      <c r="L52" s="28"/>
      <c r="M52" s="16"/>
    </row>
    <row r="53" spans="1:13" ht="43.5" hidden="1" customHeight="1" outlineLevel="1">
      <c r="A53" s="29" t="s">
        <v>1229</v>
      </c>
      <c r="B53" s="30" t="s">
        <v>9</v>
      </c>
      <c r="C53" s="30" t="s">
        <v>1078</v>
      </c>
      <c r="D53" s="31" t="s">
        <v>1250</v>
      </c>
      <c r="E53" s="31" t="s">
        <v>1137</v>
      </c>
      <c r="F53" s="32" t="s">
        <v>303</v>
      </c>
      <c r="G53" s="33"/>
      <c r="H53" s="33"/>
      <c r="I53" s="33"/>
      <c r="J53" s="33"/>
      <c r="K53" s="33"/>
      <c r="L53" s="28"/>
      <c r="M53" s="16"/>
    </row>
    <row r="54" spans="1:13" ht="43.5" hidden="1" customHeight="1" outlineLevel="1">
      <c r="A54" s="29" t="s">
        <v>1229</v>
      </c>
      <c r="B54" s="30" t="s">
        <v>9</v>
      </c>
      <c r="C54" s="30" t="s">
        <v>1078</v>
      </c>
      <c r="D54" s="31" t="s">
        <v>1251</v>
      </c>
      <c r="E54" s="31" t="s">
        <v>1137</v>
      </c>
      <c r="F54" s="32" t="s">
        <v>303</v>
      </c>
      <c r="G54" s="33"/>
      <c r="H54" s="33"/>
      <c r="I54" s="33"/>
      <c r="J54" s="33"/>
      <c r="K54" s="33"/>
      <c r="L54" s="28"/>
      <c r="M54" s="16"/>
    </row>
    <row r="55" spans="1:13" ht="29.25" hidden="1" customHeight="1" outlineLevel="1">
      <c r="A55" s="29" t="s">
        <v>1229</v>
      </c>
      <c r="B55" s="30" t="s">
        <v>9</v>
      </c>
      <c r="C55" s="30" t="s">
        <v>1078</v>
      </c>
      <c r="D55" s="31" t="s">
        <v>1252</v>
      </c>
      <c r="E55" s="31" t="s">
        <v>1137</v>
      </c>
      <c r="F55" s="32" t="s">
        <v>303</v>
      </c>
      <c r="G55" s="33"/>
      <c r="H55" s="33"/>
      <c r="I55" s="33"/>
      <c r="J55" s="33"/>
      <c r="K55" s="33"/>
      <c r="L55" s="28"/>
      <c r="M55" s="16"/>
    </row>
    <row r="56" spans="1:13" ht="30" customHeight="1" collapsed="1">
      <c r="A56" s="35" t="s">
        <v>1229</v>
      </c>
      <c r="B56" s="30" t="s">
        <v>9</v>
      </c>
      <c r="C56" s="30" t="s">
        <v>1078</v>
      </c>
      <c r="D56" s="30" t="s">
        <v>1253</v>
      </c>
      <c r="E56" s="31" t="s">
        <v>1082</v>
      </c>
      <c r="F56" s="32" t="s">
        <v>303</v>
      </c>
      <c r="G56" s="33"/>
      <c r="H56" s="33"/>
      <c r="I56" s="33"/>
      <c r="J56" s="33"/>
      <c r="K56" s="33"/>
      <c r="L56" s="28"/>
      <c r="M56" s="16"/>
    </row>
    <row r="57" spans="1:13" ht="29.25" customHeight="1" collapsed="1">
      <c r="A57" s="38" t="s">
        <v>1229</v>
      </c>
      <c r="B57" s="39" t="s">
        <v>1254</v>
      </c>
      <c r="C57" s="39" t="s">
        <v>1255</v>
      </c>
      <c r="D57" s="39" t="s">
        <v>1115</v>
      </c>
      <c r="E57" s="40" t="s">
        <v>1116</v>
      </c>
      <c r="F57" s="32" t="s">
        <v>303</v>
      </c>
      <c r="G57" s="41"/>
      <c r="H57" s="41"/>
      <c r="I57" s="41"/>
      <c r="J57" s="41"/>
      <c r="K57" s="41"/>
      <c r="L57" s="41"/>
      <c r="M57" s="16"/>
    </row>
    <row r="58" spans="1:13" ht="29.25" hidden="1" customHeight="1" outlineLevel="1">
      <c r="A58" s="38" t="s">
        <v>1229</v>
      </c>
      <c r="B58" s="39" t="s">
        <v>1254</v>
      </c>
      <c r="C58" s="39" t="s">
        <v>1255</v>
      </c>
      <c r="D58" s="40" t="s">
        <v>1117</v>
      </c>
      <c r="E58" s="40" t="s">
        <v>1116</v>
      </c>
      <c r="F58" s="32" t="s">
        <v>303</v>
      </c>
      <c r="G58" s="41"/>
      <c r="H58" s="41"/>
      <c r="I58" s="41"/>
      <c r="J58" s="41"/>
      <c r="K58" s="41"/>
      <c r="L58" s="44"/>
      <c r="M58" s="16"/>
    </row>
    <row r="59" spans="1:13" ht="29.25" hidden="1" customHeight="1" outlineLevel="1">
      <c r="A59" s="38" t="s">
        <v>1229</v>
      </c>
      <c r="B59" s="39" t="s">
        <v>1254</v>
      </c>
      <c r="C59" s="39" t="s">
        <v>1255</v>
      </c>
      <c r="D59" s="40" t="s">
        <v>1118</v>
      </c>
      <c r="E59" s="40" t="s">
        <v>1116</v>
      </c>
      <c r="F59" s="32" t="s">
        <v>303</v>
      </c>
      <c r="G59" s="41"/>
      <c r="H59" s="41"/>
      <c r="I59" s="41"/>
      <c r="J59" s="41"/>
      <c r="K59" s="41"/>
      <c r="L59" s="44"/>
      <c r="M59" s="16"/>
    </row>
    <row r="60" spans="1:13" ht="29.25" hidden="1" customHeight="1" outlineLevel="1">
      <c r="A60" s="38" t="s">
        <v>1229</v>
      </c>
      <c r="B60" s="39" t="s">
        <v>1254</v>
      </c>
      <c r="C60" s="39" t="s">
        <v>1255</v>
      </c>
      <c r="D60" s="40" t="s">
        <v>1119</v>
      </c>
      <c r="E60" s="40" t="s">
        <v>1116</v>
      </c>
      <c r="F60" s="32" t="s">
        <v>303</v>
      </c>
      <c r="G60" s="41"/>
      <c r="H60" s="41"/>
      <c r="I60" s="41"/>
      <c r="J60" s="41"/>
      <c r="K60" s="41"/>
      <c r="L60" s="44"/>
      <c r="M60" s="16"/>
    </row>
    <row r="61" spans="1:13" ht="29.25" hidden="1" customHeight="1" outlineLevel="1">
      <c r="A61" s="38" t="s">
        <v>1229</v>
      </c>
      <c r="B61" s="39" t="s">
        <v>1254</v>
      </c>
      <c r="C61" s="39" t="s">
        <v>1255</v>
      </c>
      <c r="D61" s="40" t="s">
        <v>1120</v>
      </c>
      <c r="E61" s="40" t="s">
        <v>1116</v>
      </c>
      <c r="F61" s="32" t="s">
        <v>303</v>
      </c>
      <c r="G61" s="41"/>
      <c r="H61" s="41"/>
      <c r="I61" s="41"/>
      <c r="J61" s="41"/>
      <c r="K61" s="41"/>
      <c r="L61" s="44"/>
      <c r="M61" s="16"/>
    </row>
    <row r="62" spans="1:13" ht="32">
      <c r="A62" s="35" t="s">
        <v>1229</v>
      </c>
      <c r="B62" s="30" t="s">
        <v>9</v>
      </c>
      <c r="C62" s="30" t="s">
        <v>1078</v>
      </c>
      <c r="D62" s="30" t="s">
        <v>1121</v>
      </c>
      <c r="E62" s="31" t="s">
        <v>1122</v>
      </c>
      <c r="F62" s="34" t="s">
        <v>342</v>
      </c>
      <c r="G62" s="33"/>
      <c r="H62" s="33"/>
      <c r="I62" s="33"/>
      <c r="J62" s="33"/>
      <c r="K62" s="33"/>
      <c r="L62" s="33"/>
      <c r="M62" s="16"/>
    </row>
    <row r="63" spans="1:13" ht="40.5" customHeight="1" collapsed="1">
      <c r="A63" s="35" t="s">
        <v>1229</v>
      </c>
      <c r="B63" s="30" t="s">
        <v>9</v>
      </c>
      <c r="C63" s="30" t="s">
        <v>1078</v>
      </c>
      <c r="D63" s="30" t="s">
        <v>1123</v>
      </c>
      <c r="E63" s="31" t="s">
        <v>1122</v>
      </c>
      <c r="F63" s="32" t="s">
        <v>303</v>
      </c>
      <c r="G63" s="33"/>
      <c r="H63" s="33"/>
      <c r="I63" s="33"/>
      <c r="J63" s="33"/>
      <c r="K63" s="33"/>
      <c r="L63" s="33"/>
      <c r="M63" s="16"/>
    </row>
    <row r="64" spans="1:13" ht="29.25" hidden="1" customHeight="1" outlineLevel="1">
      <c r="A64" s="35"/>
      <c r="B64" s="30" t="s">
        <v>9</v>
      </c>
      <c r="C64" s="30" t="s">
        <v>1078</v>
      </c>
      <c r="D64" s="31" t="s">
        <v>1124</v>
      </c>
      <c r="E64" s="31" t="s">
        <v>1122</v>
      </c>
      <c r="F64" s="32" t="s">
        <v>303</v>
      </c>
      <c r="G64" s="33"/>
      <c r="H64" s="33"/>
      <c r="I64" s="33"/>
      <c r="J64" s="33"/>
      <c r="K64" s="33"/>
      <c r="L64" s="33"/>
      <c r="M64" s="16"/>
    </row>
    <row r="65" spans="1:13" ht="29.25" hidden="1" customHeight="1" outlineLevel="1">
      <c r="A65" s="35"/>
      <c r="B65" s="30" t="s">
        <v>9</v>
      </c>
      <c r="C65" s="30" t="s">
        <v>1078</v>
      </c>
      <c r="D65" s="31" t="s">
        <v>1125</v>
      </c>
      <c r="E65" s="31" t="s">
        <v>1122</v>
      </c>
      <c r="F65" s="32" t="s">
        <v>303</v>
      </c>
      <c r="G65" s="33"/>
      <c r="H65" s="33"/>
      <c r="I65" s="33"/>
      <c r="J65" s="33"/>
      <c r="K65" s="33"/>
      <c r="L65" s="33"/>
      <c r="M65" s="16"/>
    </row>
    <row r="66" spans="1:13" ht="29.25" hidden="1" customHeight="1" outlineLevel="1">
      <c r="A66" s="35"/>
      <c r="B66" s="30" t="s">
        <v>9</v>
      </c>
      <c r="C66" s="30" t="s">
        <v>1078</v>
      </c>
      <c r="D66" s="31" t="s">
        <v>1126</v>
      </c>
      <c r="E66" s="31" t="s">
        <v>1122</v>
      </c>
      <c r="F66" s="32" t="s">
        <v>303</v>
      </c>
      <c r="G66" s="33"/>
      <c r="H66" s="33"/>
      <c r="I66" s="33"/>
      <c r="J66" s="33"/>
      <c r="K66" s="33"/>
      <c r="L66" s="33"/>
      <c r="M66" s="16"/>
    </row>
    <row r="67" spans="1:13" ht="29.25" hidden="1" customHeight="1" outlineLevel="1">
      <c r="A67" s="35"/>
      <c r="B67" s="30" t="s">
        <v>9</v>
      </c>
      <c r="C67" s="30" t="s">
        <v>1078</v>
      </c>
      <c r="D67" s="31" t="s">
        <v>1127</v>
      </c>
      <c r="E67" s="31" t="s">
        <v>1122</v>
      </c>
      <c r="F67" s="32" t="s">
        <v>303</v>
      </c>
      <c r="G67" s="33"/>
      <c r="H67" s="33"/>
      <c r="I67" s="33"/>
      <c r="J67" s="33"/>
      <c r="K67" s="33"/>
      <c r="L67" s="33"/>
      <c r="M67" s="16"/>
    </row>
    <row r="68" spans="1:13" ht="29.25" hidden="1" customHeight="1" outlineLevel="1">
      <c r="A68" s="35"/>
      <c r="B68" s="30" t="s">
        <v>9</v>
      </c>
      <c r="C68" s="30" t="s">
        <v>1078</v>
      </c>
      <c r="D68" s="31" t="s">
        <v>1128</v>
      </c>
      <c r="E68" s="31" t="s">
        <v>1122</v>
      </c>
      <c r="F68" s="32" t="s">
        <v>303</v>
      </c>
      <c r="G68" s="33"/>
      <c r="H68" s="33"/>
      <c r="I68" s="33"/>
      <c r="J68" s="33"/>
      <c r="K68" s="33"/>
      <c r="L68" s="33"/>
      <c r="M68" s="16"/>
    </row>
    <row r="69" spans="1:13" ht="29.25" hidden="1" customHeight="1" outlineLevel="1">
      <c r="A69" s="35"/>
      <c r="B69" s="30"/>
      <c r="C69" s="30"/>
      <c r="D69" s="31" t="s">
        <v>1129</v>
      </c>
      <c r="E69" s="31"/>
      <c r="F69" s="32" t="s">
        <v>303</v>
      </c>
      <c r="G69" s="33"/>
      <c r="H69" s="33"/>
      <c r="I69" s="33"/>
      <c r="J69" s="33"/>
      <c r="K69" s="33"/>
      <c r="L69" s="33"/>
      <c r="M69" s="16"/>
    </row>
    <row r="70" spans="1:13" ht="32" collapsed="1">
      <c r="A70" s="35" t="s">
        <v>1229</v>
      </c>
      <c r="B70" s="30" t="s">
        <v>9</v>
      </c>
      <c r="C70" s="30" t="s">
        <v>1078</v>
      </c>
      <c r="D70" s="30" t="s">
        <v>1130</v>
      </c>
      <c r="E70" s="31" t="s">
        <v>1122</v>
      </c>
      <c r="F70" s="32" t="s">
        <v>303</v>
      </c>
      <c r="G70" s="33"/>
      <c r="H70" s="33"/>
      <c r="I70" s="33"/>
      <c r="J70" s="33"/>
      <c r="K70" s="33"/>
      <c r="L70" s="33"/>
      <c r="M70" s="16"/>
    </row>
    <row r="71" spans="1:13" ht="29.25" hidden="1" customHeight="1" outlineLevel="1">
      <c r="A71" s="35"/>
      <c r="B71" s="30" t="s">
        <v>9</v>
      </c>
      <c r="C71" s="30" t="s">
        <v>1078</v>
      </c>
      <c r="D71" s="31" t="s">
        <v>1131</v>
      </c>
      <c r="E71" s="31" t="s">
        <v>1122</v>
      </c>
      <c r="F71" s="32" t="s">
        <v>303</v>
      </c>
      <c r="G71" s="33"/>
      <c r="H71" s="33"/>
      <c r="I71" s="33"/>
      <c r="J71" s="33"/>
      <c r="K71" s="33"/>
      <c r="L71" s="33"/>
      <c r="M71" s="16"/>
    </row>
    <row r="72" spans="1:13" ht="29.25" hidden="1" customHeight="1" outlineLevel="1">
      <c r="A72" s="35"/>
      <c r="B72" s="30" t="s">
        <v>9</v>
      </c>
      <c r="C72" s="30" t="s">
        <v>1078</v>
      </c>
      <c r="D72" s="31" t="s">
        <v>1132</v>
      </c>
      <c r="E72" s="31" t="s">
        <v>1122</v>
      </c>
      <c r="F72" s="32" t="s">
        <v>303</v>
      </c>
      <c r="G72" s="33"/>
      <c r="H72" s="33"/>
      <c r="I72" s="33"/>
      <c r="J72" s="33"/>
      <c r="K72" s="33"/>
      <c r="L72" s="33"/>
      <c r="M72" s="16"/>
    </row>
    <row r="73" spans="1:13" ht="29.25" hidden="1" customHeight="1" outlineLevel="1">
      <c r="A73" s="35" t="s">
        <v>1229</v>
      </c>
      <c r="B73" s="30" t="s">
        <v>9</v>
      </c>
      <c r="C73" s="30" t="s">
        <v>1256</v>
      </c>
      <c r="D73" s="31" t="s">
        <v>1133</v>
      </c>
      <c r="E73" s="31" t="s">
        <v>1122</v>
      </c>
      <c r="F73" s="32" t="s">
        <v>303</v>
      </c>
      <c r="G73" s="33"/>
      <c r="H73" s="33"/>
      <c r="I73" s="33"/>
      <c r="J73" s="33"/>
      <c r="K73" s="33"/>
      <c r="L73" s="33"/>
      <c r="M73" s="16"/>
    </row>
    <row r="74" spans="1:13" ht="32" collapsed="1">
      <c r="A74" s="35" t="s">
        <v>1229</v>
      </c>
      <c r="B74" s="37" t="s">
        <v>9</v>
      </c>
      <c r="C74" s="30" t="s">
        <v>1078</v>
      </c>
      <c r="D74" s="30" t="s">
        <v>1257</v>
      </c>
      <c r="E74" s="31" t="s">
        <v>1220</v>
      </c>
      <c r="F74" s="32" t="s">
        <v>303</v>
      </c>
      <c r="G74" s="33"/>
      <c r="H74" s="33"/>
      <c r="I74" s="33"/>
      <c r="J74" s="33"/>
      <c r="K74" s="33"/>
      <c r="L74" s="33"/>
      <c r="M74" s="16"/>
    </row>
    <row r="75" spans="1:13" ht="29.25" hidden="1" customHeight="1" outlineLevel="1">
      <c r="A75" s="35" t="s">
        <v>1229</v>
      </c>
      <c r="B75" s="37" t="s">
        <v>9</v>
      </c>
      <c r="C75" s="30" t="s">
        <v>1078</v>
      </c>
      <c r="D75" s="31" t="s">
        <v>1258</v>
      </c>
      <c r="E75" s="31" t="s">
        <v>1220</v>
      </c>
      <c r="F75" s="32" t="s">
        <v>303</v>
      </c>
      <c r="G75" s="33"/>
      <c r="H75" s="33"/>
      <c r="I75" s="33"/>
      <c r="J75" s="33"/>
      <c r="K75" s="33"/>
      <c r="L75" s="33"/>
      <c r="M75" s="16"/>
    </row>
    <row r="76" spans="1:13" ht="29.25" hidden="1" customHeight="1" outlineLevel="1">
      <c r="A76" s="35" t="s">
        <v>1229</v>
      </c>
      <c r="B76" s="37" t="s">
        <v>9</v>
      </c>
      <c r="C76" s="30" t="s">
        <v>1078</v>
      </c>
      <c r="D76" s="31" t="s">
        <v>1259</v>
      </c>
      <c r="E76" s="31" t="s">
        <v>1220</v>
      </c>
      <c r="F76" s="32" t="s">
        <v>303</v>
      </c>
      <c r="G76" s="33"/>
      <c r="H76" s="33"/>
      <c r="I76" s="33"/>
      <c r="J76" s="33"/>
      <c r="K76" s="33"/>
      <c r="L76" s="33"/>
      <c r="M76" s="16"/>
    </row>
    <row r="77" spans="1:13" ht="29.25" hidden="1" customHeight="1" outlineLevel="1">
      <c r="A77" s="35" t="s">
        <v>1229</v>
      </c>
      <c r="B77" s="37" t="s">
        <v>9</v>
      </c>
      <c r="C77" s="30" t="s">
        <v>1078</v>
      </c>
      <c r="D77" s="31" t="s">
        <v>1260</v>
      </c>
      <c r="E77" s="31" t="s">
        <v>1220</v>
      </c>
      <c r="F77" s="32" t="s">
        <v>303</v>
      </c>
      <c r="G77" s="33"/>
      <c r="H77" s="33"/>
      <c r="I77" s="33"/>
      <c r="J77" s="33"/>
      <c r="K77" s="33"/>
      <c r="L77" s="33"/>
      <c r="M77" s="16"/>
    </row>
    <row r="78" spans="1:13" ht="32" collapsed="1">
      <c r="A78" s="35" t="s">
        <v>1229</v>
      </c>
      <c r="B78" s="30" t="s">
        <v>9</v>
      </c>
      <c r="C78" s="30" t="s">
        <v>1078</v>
      </c>
      <c r="D78" s="30" t="s">
        <v>1261</v>
      </c>
      <c r="E78" s="31" t="s">
        <v>1100</v>
      </c>
      <c r="F78" s="32" t="s">
        <v>303</v>
      </c>
      <c r="G78" s="33"/>
      <c r="H78" s="33"/>
      <c r="I78" s="33"/>
      <c r="J78" s="33"/>
      <c r="K78" s="33"/>
      <c r="L78" s="33"/>
      <c r="M78" s="16"/>
    </row>
    <row r="79" spans="1:13" ht="29.25" hidden="1" customHeight="1" outlineLevel="1">
      <c r="A79" s="35" t="s">
        <v>1229</v>
      </c>
      <c r="B79" s="30" t="s">
        <v>9</v>
      </c>
      <c r="C79" s="30" t="s">
        <v>1078</v>
      </c>
      <c r="D79" s="31" t="s">
        <v>1262</v>
      </c>
      <c r="E79" s="31" t="s">
        <v>1100</v>
      </c>
      <c r="F79" s="32" t="s">
        <v>303</v>
      </c>
      <c r="G79" s="33"/>
      <c r="H79" s="33"/>
      <c r="I79" s="33"/>
      <c r="J79" s="33"/>
      <c r="K79" s="33"/>
      <c r="L79" s="33"/>
      <c r="M79" s="16"/>
    </row>
    <row r="80" spans="1:13" ht="29.25" hidden="1" customHeight="1" outlineLevel="1">
      <c r="A80" s="35" t="s">
        <v>1229</v>
      </c>
      <c r="B80" s="30" t="s">
        <v>9</v>
      </c>
      <c r="C80" s="30" t="s">
        <v>1078</v>
      </c>
      <c r="D80" s="31" t="s">
        <v>1263</v>
      </c>
      <c r="E80" s="31" t="s">
        <v>1100</v>
      </c>
      <c r="F80" s="32" t="s">
        <v>303</v>
      </c>
      <c r="G80" s="33"/>
      <c r="H80" s="33"/>
      <c r="I80" s="33"/>
      <c r="J80" s="33"/>
      <c r="K80" s="33"/>
      <c r="L80" s="33"/>
      <c r="M80" s="16"/>
    </row>
    <row r="81" spans="1:13" ht="29.25" hidden="1" customHeight="1" outlineLevel="1">
      <c r="A81" s="35" t="s">
        <v>1229</v>
      </c>
      <c r="B81" s="30" t="s">
        <v>9</v>
      </c>
      <c r="C81" s="30" t="s">
        <v>1078</v>
      </c>
      <c r="D81" s="31" t="s">
        <v>1264</v>
      </c>
      <c r="E81" s="31" t="s">
        <v>1220</v>
      </c>
      <c r="F81" s="32" t="s">
        <v>303</v>
      </c>
      <c r="G81" s="33"/>
      <c r="H81" s="33"/>
      <c r="I81" s="33"/>
      <c r="J81" s="33"/>
      <c r="K81" s="33"/>
      <c r="L81" s="33"/>
      <c r="M81" s="16"/>
    </row>
    <row r="82" spans="1:13" ht="29.25" customHeight="1" collapsed="1">
      <c r="A82" s="35" t="s">
        <v>1229</v>
      </c>
      <c r="B82" s="30" t="s">
        <v>9</v>
      </c>
      <c r="C82" s="30" t="s">
        <v>1078</v>
      </c>
      <c r="D82" s="30" t="s">
        <v>1265</v>
      </c>
      <c r="E82" s="31" t="s">
        <v>1106</v>
      </c>
      <c r="F82" s="32" t="s">
        <v>303</v>
      </c>
      <c r="G82" s="33"/>
      <c r="H82" s="33"/>
      <c r="I82" s="33"/>
      <c r="J82" s="33"/>
      <c r="K82" s="33"/>
      <c r="L82" s="33"/>
      <c r="M82" s="16"/>
    </row>
    <row r="83" spans="1:13" ht="43.5" hidden="1" customHeight="1" outlineLevel="1">
      <c r="A83" s="35" t="s">
        <v>1229</v>
      </c>
      <c r="B83" s="30" t="s">
        <v>9</v>
      </c>
      <c r="C83" s="30" t="s">
        <v>1078</v>
      </c>
      <c r="D83" s="31" t="s">
        <v>1134</v>
      </c>
      <c r="E83" s="31" t="s">
        <v>1106</v>
      </c>
      <c r="F83" s="32" t="s">
        <v>303</v>
      </c>
      <c r="G83" s="33"/>
      <c r="H83" s="33"/>
      <c r="I83" s="33"/>
      <c r="J83" s="33"/>
      <c r="K83" s="33"/>
      <c r="L83" s="33"/>
      <c r="M83" s="16"/>
    </row>
    <row r="84" spans="1:13" ht="29.25" hidden="1" customHeight="1" outlineLevel="1">
      <c r="A84" s="35" t="s">
        <v>1229</v>
      </c>
      <c r="B84" s="30" t="s">
        <v>9</v>
      </c>
      <c r="C84" s="30" t="s">
        <v>1078</v>
      </c>
      <c r="D84" s="31" t="s">
        <v>1135</v>
      </c>
      <c r="E84" s="31" t="s">
        <v>1106</v>
      </c>
      <c r="F84" s="32" t="s">
        <v>303</v>
      </c>
      <c r="G84" s="33"/>
      <c r="H84" s="33"/>
      <c r="I84" s="33"/>
      <c r="J84" s="33"/>
      <c r="K84" s="33"/>
      <c r="L84" s="33"/>
      <c r="M84" s="16"/>
    </row>
    <row r="85" spans="1:13" ht="29.25" customHeight="1" collapsed="1">
      <c r="A85" s="35" t="s">
        <v>1229</v>
      </c>
      <c r="B85" s="30" t="s">
        <v>17</v>
      </c>
      <c r="C85" s="30" t="s">
        <v>1074</v>
      </c>
      <c r="D85" s="30" t="s">
        <v>1136</v>
      </c>
      <c r="E85" s="31" t="s">
        <v>1137</v>
      </c>
      <c r="F85" s="32" t="s">
        <v>303</v>
      </c>
      <c r="G85" s="33"/>
      <c r="H85" s="33"/>
      <c r="I85" s="33"/>
      <c r="J85" s="33"/>
      <c r="K85" s="33"/>
      <c r="L85" s="33"/>
      <c r="M85" s="16"/>
    </row>
    <row r="86" spans="1:13" ht="43.5" hidden="1" customHeight="1" outlineLevel="1">
      <c r="A86" s="33" t="s">
        <v>1229</v>
      </c>
      <c r="B86" s="31" t="s">
        <v>17</v>
      </c>
      <c r="C86" s="31" t="s">
        <v>1074</v>
      </c>
      <c r="D86" s="31" t="s">
        <v>1138</v>
      </c>
      <c r="E86" s="31" t="s">
        <v>1137</v>
      </c>
      <c r="F86" s="33"/>
      <c r="G86" s="33"/>
      <c r="H86" s="33"/>
      <c r="I86" s="33"/>
      <c r="J86" s="33"/>
      <c r="K86" s="33"/>
      <c r="L86" s="44"/>
      <c r="M86" s="16"/>
    </row>
    <row r="87" spans="1:13" ht="43.5" hidden="1" customHeight="1" outlineLevel="1">
      <c r="A87" s="33" t="s">
        <v>1229</v>
      </c>
      <c r="B87" s="31" t="s">
        <v>17</v>
      </c>
      <c r="C87" s="31" t="s">
        <v>1074</v>
      </c>
      <c r="D87" s="31" t="s">
        <v>1139</v>
      </c>
      <c r="E87" s="31" t="s">
        <v>1137</v>
      </c>
      <c r="F87" s="33"/>
      <c r="G87" s="33"/>
      <c r="H87" s="33"/>
      <c r="I87" s="33"/>
      <c r="J87" s="33"/>
      <c r="K87" s="33"/>
      <c r="L87" s="44"/>
      <c r="M87" s="16"/>
    </row>
    <row r="88" spans="1:13" ht="43.5" hidden="1" customHeight="1" outlineLevel="1">
      <c r="A88" s="33" t="s">
        <v>1229</v>
      </c>
      <c r="B88" s="31" t="s">
        <v>17</v>
      </c>
      <c r="C88" s="31" t="s">
        <v>1074</v>
      </c>
      <c r="D88" s="31" t="s">
        <v>1140</v>
      </c>
      <c r="E88" s="31" t="s">
        <v>1137</v>
      </c>
      <c r="F88" s="33"/>
      <c r="G88" s="33"/>
      <c r="H88" s="33"/>
      <c r="I88" s="33"/>
      <c r="J88" s="33"/>
      <c r="K88" s="33"/>
      <c r="L88" s="44"/>
      <c r="M88" s="16"/>
    </row>
    <row r="89" spans="1:13" ht="44.25" hidden="1" customHeight="1" outlineLevel="1">
      <c r="A89" s="33" t="s">
        <v>1229</v>
      </c>
      <c r="B89" s="31" t="s">
        <v>17</v>
      </c>
      <c r="C89" s="31" t="s">
        <v>1074</v>
      </c>
      <c r="D89" s="31" t="s">
        <v>1141</v>
      </c>
      <c r="E89" s="31" t="s">
        <v>1137</v>
      </c>
      <c r="F89" s="33"/>
      <c r="G89" s="33"/>
      <c r="H89" s="33"/>
      <c r="I89" s="33"/>
      <c r="J89" s="33"/>
      <c r="K89" s="33"/>
      <c r="L89" s="44"/>
      <c r="M89" s="16"/>
    </row>
    <row r="90" spans="1:13" ht="43.5" hidden="1" customHeight="1" outlineLevel="1">
      <c r="A90" s="33" t="s">
        <v>1229</v>
      </c>
      <c r="B90" s="31" t="s">
        <v>17</v>
      </c>
      <c r="C90" s="31" t="s">
        <v>1074</v>
      </c>
      <c r="D90" s="31" t="s">
        <v>1142</v>
      </c>
      <c r="E90" s="31" t="s">
        <v>1137</v>
      </c>
      <c r="F90" s="33"/>
      <c r="G90" s="33"/>
      <c r="H90" s="33"/>
      <c r="I90" s="33"/>
      <c r="J90" s="33"/>
      <c r="K90" s="33"/>
      <c r="L90" s="44"/>
      <c r="M90" s="16"/>
    </row>
    <row r="91" spans="1:13" ht="43.5" hidden="1" customHeight="1" outlineLevel="1">
      <c r="A91" s="33" t="s">
        <v>1229</v>
      </c>
      <c r="B91" s="31" t="s">
        <v>17</v>
      </c>
      <c r="C91" s="31" t="s">
        <v>1074</v>
      </c>
      <c r="D91" s="31" t="s">
        <v>1143</v>
      </c>
      <c r="E91" s="31" t="s">
        <v>1137</v>
      </c>
      <c r="F91" s="33"/>
      <c r="G91" s="33"/>
      <c r="H91" s="33"/>
      <c r="I91" s="33"/>
      <c r="J91" s="33"/>
      <c r="K91" s="33"/>
      <c r="L91" s="44"/>
      <c r="M91" s="16"/>
    </row>
    <row r="92" spans="1:13" ht="43.5" hidden="1" customHeight="1" outlineLevel="1">
      <c r="A92" s="33" t="s">
        <v>1229</v>
      </c>
      <c r="B92" s="31" t="s">
        <v>17</v>
      </c>
      <c r="C92" s="31" t="s">
        <v>1074</v>
      </c>
      <c r="D92" s="31" t="s">
        <v>1144</v>
      </c>
      <c r="E92" s="31" t="s">
        <v>1137</v>
      </c>
      <c r="F92" s="33"/>
      <c r="G92" s="33"/>
      <c r="H92" s="33"/>
      <c r="I92" s="33"/>
      <c r="J92" s="33"/>
      <c r="K92" s="33"/>
      <c r="L92" s="44"/>
      <c r="M92" s="16"/>
    </row>
    <row r="93" spans="1:13" ht="29.25" customHeight="1" collapsed="1">
      <c r="A93" s="45" t="s">
        <v>1229</v>
      </c>
      <c r="B93" s="46" t="s">
        <v>1145</v>
      </c>
      <c r="C93" s="47" t="s">
        <v>1070</v>
      </c>
      <c r="D93" s="48" t="s">
        <v>1146</v>
      </c>
      <c r="E93" s="47" t="s">
        <v>1082</v>
      </c>
      <c r="F93" s="32" t="s">
        <v>303</v>
      </c>
      <c r="G93" s="49"/>
      <c r="H93" s="49"/>
      <c r="I93" s="49"/>
      <c r="J93" s="49"/>
      <c r="K93" s="49"/>
      <c r="L93" s="49"/>
      <c r="M93" s="16"/>
    </row>
    <row r="94" spans="1:13" ht="29.25" hidden="1" customHeight="1" outlineLevel="1">
      <c r="A94" s="45" t="s">
        <v>1229</v>
      </c>
      <c r="B94" s="46" t="s">
        <v>1145</v>
      </c>
      <c r="C94" s="47" t="s">
        <v>1070</v>
      </c>
      <c r="D94" s="47" t="s">
        <v>1147</v>
      </c>
      <c r="E94" s="47" t="s">
        <v>1266</v>
      </c>
      <c r="F94" s="49"/>
      <c r="G94" s="49"/>
      <c r="H94" s="49"/>
      <c r="I94" s="49"/>
      <c r="J94" s="49"/>
      <c r="K94" s="49"/>
      <c r="L94" s="49"/>
      <c r="M94" s="16"/>
    </row>
    <row r="95" spans="1:13" ht="29.25" hidden="1" customHeight="1" outlineLevel="1">
      <c r="A95" s="45" t="s">
        <v>1229</v>
      </c>
      <c r="B95" s="46" t="s">
        <v>1145</v>
      </c>
      <c r="C95" s="47" t="s">
        <v>1070</v>
      </c>
      <c r="D95" s="47" t="s">
        <v>1148</v>
      </c>
      <c r="E95" s="47" t="s">
        <v>1266</v>
      </c>
      <c r="F95" s="49"/>
      <c r="G95" s="49"/>
      <c r="H95" s="49"/>
      <c r="I95" s="49"/>
      <c r="J95" s="49"/>
      <c r="K95" s="49"/>
      <c r="L95" s="49"/>
      <c r="M95" s="16"/>
    </row>
    <row r="96" spans="1:13" ht="29.25" hidden="1" customHeight="1" outlineLevel="1">
      <c r="A96" s="45" t="s">
        <v>1229</v>
      </c>
      <c r="B96" s="46" t="s">
        <v>1145</v>
      </c>
      <c r="C96" s="47" t="s">
        <v>1070</v>
      </c>
      <c r="D96" s="47" t="s">
        <v>1149</v>
      </c>
      <c r="E96" s="47" t="s">
        <v>1267</v>
      </c>
      <c r="F96" s="49"/>
      <c r="G96" s="49"/>
      <c r="H96" s="49"/>
      <c r="I96" s="49"/>
      <c r="J96" s="49"/>
      <c r="K96" s="49"/>
      <c r="L96" s="49"/>
      <c r="M96" s="16"/>
    </row>
    <row r="97" spans="1:13" ht="29.25" hidden="1" customHeight="1" outlineLevel="1">
      <c r="A97" s="45" t="s">
        <v>1229</v>
      </c>
      <c r="B97" s="46" t="s">
        <v>1145</v>
      </c>
      <c r="C97" s="47" t="s">
        <v>1070</v>
      </c>
      <c r="D97" s="47" t="s">
        <v>1150</v>
      </c>
      <c r="E97" s="47" t="s">
        <v>1267</v>
      </c>
      <c r="F97" s="49"/>
      <c r="G97" s="49"/>
      <c r="H97" s="49"/>
      <c r="I97" s="49"/>
      <c r="J97" s="49"/>
      <c r="K97" s="49"/>
      <c r="L97" s="49"/>
      <c r="M97" s="16"/>
    </row>
    <row r="98" spans="1:13" ht="29.25" customHeight="1" collapsed="1">
      <c r="A98" s="49" t="s">
        <v>1229</v>
      </c>
      <c r="B98" s="47" t="s">
        <v>1145</v>
      </c>
      <c r="C98" s="47" t="s">
        <v>1070</v>
      </c>
      <c r="D98" s="48" t="s">
        <v>1151</v>
      </c>
      <c r="E98" s="47" t="s">
        <v>1082</v>
      </c>
      <c r="F98" s="32" t="s">
        <v>303</v>
      </c>
      <c r="G98" s="49"/>
      <c r="H98" s="49"/>
      <c r="I98" s="49"/>
      <c r="J98" s="49"/>
      <c r="K98" s="49"/>
      <c r="L98" s="49"/>
      <c r="M98" s="16"/>
    </row>
    <row r="99" spans="1:13" ht="32" collapsed="1">
      <c r="A99" s="49" t="s">
        <v>1229</v>
      </c>
      <c r="B99" s="47" t="s">
        <v>1145</v>
      </c>
      <c r="C99" s="47"/>
      <c r="D99" s="47" t="s">
        <v>1152</v>
      </c>
      <c r="E99" s="47"/>
      <c r="F99" s="32" t="s">
        <v>303</v>
      </c>
      <c r="G99" s="49"/>
      <c r="H99" s="49"/>
      <c r="I99" s="49"/>
      <c r="J99" s="49"/>
      <c r="K99" s="49"/>
      <c r="L99" s="49"/>
      <c r="M99" s="16"/>
    </row>
    <row r="100" spans="1:13" ht="29.25" hidden="1" customHeight="1" outlineLevel="1">
      <c r="A100" s="49" t="s">
        <v>1229</v>
      </c>
      <c r="B100" s="47" t="s">
        <v>1145</v>
      </c>
      <c r="C100" s="47" t="s">
        <v>1070</v>
      </c>
      <c r="D100" s="50" t="s">
        <v>1153</v>
      </c>
      <c r="E100" s="47" t="s">
        <v>1267</v>
      </c>
      <c r="F100" s="32" t="s">
        <v>303</v>
      </c>
      <c r="G100" s="49"/>
      <c r="H100" s="49"/>
      <c r="I100" s="49"/>
      <c r="J100" s="49"/>
      <c r="K100" s="49"/>
      <c r="L100" s="49"/>
      <c r="M100" s="16"/>
    </row>
    <row r="101" spans="1:13" ht="29.25" customHeight="1" collapsed="1">
      <c r="A101" s="49" t="s">
        <v>1229</v>
      </c>
      <c r="B101" s="47" t="s">
        <v>1145</v>
      </c>
      <c r="C101" s="47" t="s">
        <v>1070</v>
      </c>
      <c r="D101" s="48" t="s">
        <v>1154</v>
      </c>
      <c r="E101" s="47" t="s">
        <v>1106</v>
      </c>
      <c r="F101" s="32" t="s">
        <v>303</v>
      </c>
      <c r="G101" s="49"/>
      <c r="H101" s="49"/>
      <c r="I101" s="49"/>
      <c r="J101" s="49"/>
      <c r="K101" s="49"/>
      <c r="L101" s="49"/>
      <c r="M101" s="16"/>
    </row>
    <row r="102" spans="1:13" ht="29.25" hidden="1" customHeight="1" outlineLevel="1">
      <c r="A102" s="49" t="s">
        <v>1229</v>
      </c>
      <c r="B102" s="47" t="s">
        <v>1145</v>
      </c>
      <c r="C102" s="47" t="s">
        <v>1070</v>
      </c>
      <c r="D102" s="47" t="s">
        <v>1155</v>
      </c>
      <c r="E102" s="47" t="s">
        <v>1106</v>
      </c>
      <c r="F102" s="32" t="s">
        <v>303</v>
      </c>
      <c r="G102" s="49"/>
      <c r="H102" s="49"/>
      <c r="I102" s="49"/>
      <c r="J102" s="49"/>
      <c r="K102" s="49"/>
      <c r="L102" s="49"/>
      <c r="M102" s="16"/>
    </row>
    <row r="103" spans="1:13" ht="29.25" hidden="1" customHeight="1" outlineLevel="1">
      <c r="A103" s="49" t="s">
        <v>1229</v>
      </c>
      <c r="B103" s="47" t="s">
        <v>1145</v>
      </c>
      <c r="C103" s="47" t="s">
        <v>1070</v>
      </c>
      <c r="D103" s="47" t="s">
        <v>1156</v>
      </c>
      <c r="E103" s="47" t="s">
        <v>1106</v>
      </c>
      <c r="F103" s="32" t="s">
        <v>303</v>
      </c>
      <c r="G103" s="49"/>
      <c r="H103" s="49"/>
      <c r="I103" s="49"/>
      <c r="J103" s="49"/>
      <c r="K103" s="49"/>
      <c r="L103" s="49"/>
      <c r="M103" s="16"/>
    </row>
    <row r="104" spans="1:13" ht="29.25" hidden="1" customHeight="1" outlineLevel="1">
      <c r="A104" s="49" t="s">
        <v>1229</v>
      </c>
      <c r="B104" s="47" t="s">
        <v>1145</v>
      </c>
      <c r="C104" s="47" t="s">
        <v>1070</v>
      </c>
      <c r="D104" s="47" t="s">
        <v>1157</v>
      </c>
      <c r="E104" s="47" t="s">
        <v>1106</v>
      </c>
      <c r="F104" s="32" t="s">
        <v>303</v>
      </c>
      <c r="G104" s="49"/>
      <c r="H104" s="49"/>
      <c r="I104" s="49"/>
      <c r="J104" s="49"/>
      <c r="K104" s="49"/>
      <c r="L104" s="49"/>
      <c r="M104" s="16"/>
    </row>
    <row r="105" spans="1:13" ht="29.25" hidden="1" customHeight="1" outlineLevel="1">
      <c r="A105" s="49" t="s">
        <v>1229</v>
      </c>
      <c r="B105" s="47" t="s">
        <v>1145</v>
      </c>
      <c r="C105" s="47" t="s">
        <v>1070</v>
      </c>
      <c r="D105" s="47" t="s">
        <v>1158</v>
      </c>
      <c r="E105" s="47" t="s">
        <v>1106</v>
      </c>
      <c r="F105" s="32" t="s">
        <v>303</v>
      </c>
      <c r="G105" s="49"/>
      <c r="H105" s="49"/>
      <c r="I105" s="49"/>
      <c r="J105" s="49"/>
      <c r="K105" s="49"/>
      <c r="L105" s="49"/>
      <c r="M105" s="16"/>
    </row>
    <row r="106" spans="1:13" ht="29.25" hidden="1" customHeight="1" outlineLevel="1">
      <c r="A106" s="49" t="s">
        <v>1229</v>
      </c>
      <c r="B106" s="47" t="s">
        <v>1145</v>
      </c>
      <c r="C106" s="47" t="s">
        <v>1070</v>
      </c>
      <c r="D106" s="47" t="s">
        <v>1159</v>
      </c>
      <c r="E106" s="47" t="s">
        <v>1106</v>
      </c>
      <c r="F106" s="32" t="s">
        <v>303</v>
      </c>
      <c r="G106" s="49"/>
      <c r="H106" s="49"/>
      <c r="I106" s="49"/>
      <c r="J106" s="49"/>
      <c r="K106" s="49"/>
      <c r="L106" s="49"/>
      <c r="M106" s="16"/>
    </row>
    <row r="107" spans="1:13" ht="32" collapsed="1">
      <c r="A107" s="49" t="s">
        <v>1229</v>
      </c>
      <c r="B107" s="47" t="s">
        <v>1145</v>
      </c>
      <c r="C107" s="48" t="s">
        <v>22</v>
      </c>
      <c r="D107" s="48" t="s">
        <v>1268</v>
      </c>
      <c r="E107" s="47"/>
      <c r="F107" s="32" t="s">
        <v>303</v>
      </c>
      <c r="G107" s="49"/>
      <c r="H107" s="49"/>
      <c r="I107" s="49"/>
      <c r="J107" s="49"/>
      <c r="K107" s="49"/>
      <c r="L107" s="49"/>
      <c r="M107" s="16"/>
    </row>
    <row r="108" spans="1:13" ht="29.25" customHeight="1" collapsed="1">
      <c r="A108" s="45" t="s">
        <v>1229</v>
      </c>
      <c r="B108" s="47" t="s">
        <v>1165</v>
      </c>
      <c r="C108" s="47" t="s">
        <v>1068</v>
      </c>
      <c r="D108" s="48" t="s">
        <v>1166</v>
      </c>
      <c r="E108" s="47" t="s">
        <v>1122</v>
      </c>
      <c r="F108" s="32" t="s">
        <v>303</v>
      </c>
      <c r="G108" s="49"/>
      <c r="H108" s="49"/>
      <c r="I108" s="49"/>
      <c r="J108" s="49"/>
      <c r="K108" s="49"/>
      <c r="L108" s="49"/>
      <c r="M108" s="16"/>
    </row>
    <row r="109" spans="1:13" ht="29.25" hidden="1" customHeight="1" outlineLevel="1">
      <c r="A109" s="45" t="s">
        <v>1229</v>
      </c>
      <c r="B109" s="47" t="s">
        <v>1165</v>
      </c>
      <c r="C109" s="47" t="s">
        <v>1068</v>
      </c>
      <c r="D109" s="47" t="s">
        <v>1167</v>
      </c>
      <c r="E109" s="47" t="s">
        <v>1122</v>
      </c>
      <c r="F109" s="32" t="s">
        <v>303</v>
      </c>
      <c r="G109" s="49"/>
      <c r="H109" s="49"/>
      <c r="I109" s="49"/>
      <c r="J109" s="49"/>
      <c r="K109" s="49"/>
      <c r="L109" s="49"/>
      <c r="M109" s="16"/>
    </row>
    <row r="110" spans="1:13" ht="29.25" hidden="1" customHeight="1" outlineLevel="1">
      <c r="A110" s="45" t="s">
        <v>1229</v>
      </c>
      <c r="B110" s="47" t="s">
        <v>1165</v>
      </c>
      <c r="C110" s="47" t="s">
        <v>1068</v>
      </c>
      <c r="D110" s="47" t="s">
        <v>1168</v>
      </c>
      <c r="E110" s="47" t="s">
        <v>1122</v>
      </c>
      <c r="F110" s="32" t="s">
        <v>303</v>
      </c>
      <c r="G110" s="49"/>
      <c r="H110" s="49"/>
      <c r="I110" s="49"/>
      <c r="J110" s="49"/>
      <c r="K110" s="49"/>
      <c r="L110" s="49"/>
      <c r="M110" s="16"/>
    </row>
    <row r="111" spans="1:13" ht="29.25" hidden="1" customHeight="1" outlineLevel="1">
      <c r="A111" s="45" t="s">
        <v>1229</v>
      </c>
      <c r="B111" s="47" t="s">
        <v>1165</v>
      </c>
      <c r="C111" s="47" t="s">
        <v>1068</v>
      </c>
      <c r="D111" s="47" t="s">
        <v>1169</v>
      </c>
      <c r="E111" s="47" t="s">
        <v>1122</v>
      </c>
      <c r="F111" s="32" t="s">
        <v>303</v>
      </c>
      <c r="G111" s="49"/>
      <c r="H111" s="49"/>
      <c r="I111" s="49"/>
      <c r="J111" s="49"/>
      <c r="K111" s="49"/>
      <c r="L111" s="49"/>
      <c r="M111" s="16"/>
    </row>
    <row r="112" spans="1:13" ht="29.25" hidden="1" customHeight="1" outlineLevel="1">
      <c r="A112" s="45" t="s">
        <v>1229</v>
      </c>
      <c r="B112" s="47" t="s">
        <v>1165</v>
      </c>
      <c r="C112" s="47" t="s">
        <v>1068</v>
      </c>
      <c r="D112" s="47" t="s">
        <v>1170</v>
      </c>
      <c r="E112" s="47" t="s">
        <v>1122</v>
      </c>
      <c r="F112" s="32" t="s">
        <v>303</v>
      </c>
      <c r="G112" s="49"/>
      <c r="H112" s="49"/>
      <c r="I112" s="49"/>
      <c r="J112" s="49"/>
      <c r="K112" s="49"/>
      <c r="L112" s="49"/>
      <c r="M112" s="16"/>
    </row>
    <row r="113" spans="1:13" ht="29.25" hidden="1" customHeight="1" outlineLevel="1">
      <c r="A113" s="45" t="s">
        <v>1229</v>
      </c>
      <c r="B113" s="47" t="s">
        <v>1165</v>
      </c>
      <c r="C113" s="47" t="s">
        <v>1068</v>
      </c>
      <c r="D113" s="47" t="s">
        <v>1171</v>
      </c>
      <c r="E113" s="47" t="s">
        <v>1122</v>
      </c>
      <c r="F113" s="32" t="s">
        <v>303</v>
      </c>
      <c r="G113" s="49"/>
      <c r="H113" s="49"/>
      <c r="I113" s="49"/>
      <c r="J113" s="49"/>
      <c r="K113" s="49"/>
      <c r="L113" s="49"/>
      <c r="M113" s="16"/>
    </row>
    <row r="114" spans="1:13" ht="29.25" customHeight="1" collapsed="1">
      <c r="A114" s="45" t="s">
        <v>1229</v>
      </c>
      <c r="B114" s="47" t="s">
        <v>326</v>
      </c>
      <c r="C114" s="47" t="s">
        <v>1069</v>
      </c>
      <c r="D114" s="48" t="s">
        <v>1172</v>
      </c>
      <c r="E114" s="47" t="s">
        <v>1122</v>
      </c>
      <c r="F114" s="32" t="s">
        <v>303</v>
      </c>
      <c r="G114" s="49"/>
      <c r="H114" s="49"/>
      <c r="I114" s="49"/>
      <c r="J114" s="49"/>
      <c r="K114" s="49"/>
      <c r="L114" s="49"/>
      <c r="M114" s="16"/>
    </row>
    <row r="115" spans="1:13" ht="29.25" hidden="1" customHeight="1" outlineLevel="1">
      <c r="A115" s="45" t="s">
        <v>1229</v>
      </c>
      <c r="B115" s="47" t="s">
        <v>326</v>
      </c>
      <c r="C115" s="47" t="s">
        <v>1069</v>
      </c>
      <c r="D115" s="47" t="s">
        <v>1173</v>
      </c>
      <c r="E115" s="47" t="s">
        <v>1122</v>
      </c>
      <c r="F115" s="32" t="s">
        <v>303</v>
      </c>
      <c r="G115" s="49"/>
      <c r="H115" s="49"/>
      <c r="I115" s="49"/>
      <c r="J115" s="49"/>
      <c r="K115" s="49"/>
      <c r="L115" s="49"/>
      <c r="M115" s="16"/>
    </row>
    <row r="116" spans="1:13" ht="29.25" hidden="1" customHeight="1" outlineLevel="1">
      <c r="A116" s="45" t="s">
        <v>1229</v>
      </c>
      <c r="B116" s="47" t="s">
        <v>326</v>
      </c>
      <c r="C116" s="47" t="s">
        <v>1069</v>
      </c>
      <c r="D116" s="47" t="s">
        <v>1174</v>
      </c>
      <c r="E116" s="47" t="s">
        <v>1122</v>
      </c>
      <c r="F116" s="32" t="s">
        <v>303</v>
      </c>
      <c r="G116" s="49"/>
      <c r="H116" s="49"/>
      <c r="I116" s="49"/>
      <c r="J116" s="49"/>
      <c r="K116" s="49"/>
      <c r="L116" s="49"/>
      <c r="M116" s="16"/>
    </row>
    <row r="117" spans="1:13" ht="29.25" hidden="1" customHeight="1" outlineLevel="1">
      <c r="A117" s="45" t="s">
        <v>1229</v>
      </c>
      <c r="B117" s="47" t="s">
        <v>326</v>
      </c>
      <c r="C117" s="47" t="s">
        <v>1069</v>
      </c>
      <c r="D117" s="47" t="s">
        <v>1175</v>
      </c>
      <c r="E117" s="47" t="s">
        <v>1122</v>
      </c>
      <c r="F117" s="32" t="s">
        <v>303</v>
      </c>
      <c r="G117" s="49"/>
      <c r="H117" s="49"/>
      <c r="I117" s="49"/>
      <c r="J117" s="49"/>
      <c r="K117" s="49"/>
      <c r="L117" s="49"/>
      <c r="M117" s="16"/>
    </row>
    <row r="118" spans="1:13" ht="29.25" hidden="1" customHeight="1" outlineLevel="1">
      <c r="A118" s="45" t="s">
        <v>1229</v>
      </c>
      <c r="B118" s="47" t="s">
        <v>326</v>
      </c>
      <c r="C118" s="47" t="s">
        <v>1069</v>
      </c>
      <c r="D118" s="47" t="s">
        <v>1176</v>
      </c>
      <c r="E118" s="47" t="s">
        <v>1122</v>
      </c>
      <c r="F118" s="32" t="s">
        <v>303</v>
      </c>
      <c r="G118" s="49"/>
      <c r="H118" s="49"/>
      <c r="I118" s="49"/>
      <c r="J118" s="49"/>
      <c r="K118" s="49"/>
      <c r="L118" s="49"/>
      <c r="M118" s="16"/>
    </row>
    <row r="119" spans="1:13" ht="29.25" hidden="1" customHeight="1" outlineLevel="1">
      <c r="A119" s="45" t="s">
        <v>1229</v>
      </c>
      <c r="B119" s="47" t="s">
        <v>326</v>
      </c>
      <c r="C119" s="47" t="s">
        <v>1069</v>
      </c>
      <c r="D119" s="47" t="s">
        <v>1177</v>
      </c>
      <c r="E119" s="47" t="s">
        <v>1122</v>
      </c>
      <c r="F119" s="32" t="s">
        <v>303</v>
      </c>
      <c r="G119" s="49"/>
      <c r="H119" s="49"/>
      <c r="I119" s="49"/>
      <c r="J119" s="49"/>
      <c r="K119" s="49"/>
      <c r="L119" s="49"/>
      <c r="M119" s="16"/>
    </row>
    <row r="120" spans="1:13" ht="29.25" customHeight="1" collapsed="1">
      <c r="A120" s="45" t="s">
        <v>1229</v>
      </c>
      <c r="B120" s="47" t="s">
        <v>326</v>
      </c>
      <c r="C120" s="47" t="s">
        <v>1069</v>
      </c>
      <c r="D120" s="48" t="s">
        <v>1178</v>
      </c>
      <c r="E120" s="47" t="s">
        <v>1122</v>
      </c>
      <c r="F120" s="32" t="s">
        <v>303</v>
      </c>
      <c r="G120" s="49"/>
      <c r="H120" s="49"/>
      <c r="I120" s="49"/>
      <c r="J120" s="49"/>
      <c r="K120" s="49"/>
      <c r="L120" s="49"/>
      <c r="M120" s="16"/>
    </row>
    <row r="121" spans="1:13" ht="29.25" hidden="1" customHeight="1" outlineLevel="1">
      <c r="A121" s="45" t="s">
        <v>1229</v>
      </c>
      <c r="B121" s="47" t="s">
        <v>326</v>
      </c>
      <c r="C121" s="47" t="s">
        <v>1069</v>
      </c>
      <c r="D121" s="47" t="s">
        <v>1173</v>
      </c>
      <c r="E121" s="47" t="s">
        <v>1122</v>
      </c>
      <c r="F121" s="49"/>
      <c r="G121" s="49"/>
      <c r="H121" s="49"/>
      <c r="I121" s="49"/>
      <c r="J121" s="49"/>
      <c r="K121" s="49"/>
      <c r="L121" s="44"/>
      <c r="M121" s="16"/>
    </row>
    <row r="122" spans="1:13" ht="29.25" hidden="1" customHeight="1" outlineLevel="1">
      <c r="A122" s="45" t="s">
        <v>1229</v>
      </c>
      <c r="B122" s="47" t="s">
        <v>326</v>
      </c>
      <c r="C122" s="47" t="s">
        <v>1069</v>
      </c>
      <c r="D122" s="47" t="s">
        <v>1174</v>
      </c>
      <c r="E122" s="47" t="s">
        <v>1122</v>
      </c>
      <c r="F122" s="49"/>
      <c r="G122" s="49"/>
      <c r="H122" s="49"/>
      <c r="I122" s="49"/>
      <c r="J122" s="49"/>
      <c r="K122" s="49"/>
      <c r="L122" s="44"/>
      <c r="M122" s="16"/>
    </row>
    <row r="123" spans="1:13" ht="29.25" hidden="1" customHeight="1" outlineLevel="1">
      <c r="A123" s="45" t="s">
        <v>1229</v>
      </c>
      <c r="B123" s="47" t="s">
        <v>326</v>
      </c>
      <c r="C123" s="47" t="s">
        <v>1069</v>
      </c>
      <c r="D123" s="47" t="s">
        <v>1175</v>
      </c>
      <c r="E123" s="47" t="s">
        <v>1122</v>
      </c>
      <c r="F123" s="49"/>
      <c r="G123" s="49"/>
      <c r="H123" s="49"/>
      <c r="I123" s="49"/>
      <c r="J123" s="49"/>
      <c r="K123" s="49"/>
      <c r="L123" s="44"/>
      <c r="M123" s="16"/>
    </row>
    <row r="124" spans="1:13" ht="29.25" hidden="1" customHeight="1" outlineLevel="1">
      <c r="A124" s="45" t="s">
        <v>1229</v>
      </c>
      <c r="B124" s="47" t="s">
        <v>326</v>
      </c>
      <c r="C124" s="47" t="s">
        <v>1069</v>
      </c>
      <c r="D124" s="47" t="s">
        <v>1176</v>
      </c>
      <c r="E124" s="47" t="s">
        <v>1122</v>
      </c>
      <c r="F124" s="49"/>
      <c r="G124" s="49"/>
      <c r="H124" s="49"/>
      <c r="I124" s="49"/>
      <c r="J124" s="49"/>
      <c r="K124" s="49"/>
      <c r="L124" s="44"/>
      <c r="M124" s="16"/>
    </row>
    <row r="125" spans="1:13" ht="29.25" customHeight="1" collapsed="1">
      <c r="A125" s="51" t="s">
        <v>1229</v>
      </c>
      <c r="B125" s="52" t="s">
        <v>1179</v>
      </c>
      <c r="C125" s="53" t="s">
        <v>1269</v>
      </c>
      <c r="D125" s="54" t="s">
        <v>1180</v>
      </c>
      <c r="E125" s="53" t="s">
        <v>1137</v>
      </c>
      <c r="F125" s="32" t="s">
        <v>303</v>
      </c>
      <c r="G125" s="51"/>
      <c r="H125" s="51"/>
      <c r="I125" s="51"/>
      <c r="J125" s="51"/>
      <c r="K125" s="51"/>
      <c r="L125" s="51"/>
      <c r="M125" s="16"/>
    </row>
    <row r="126" spans="1:13" ht="29.25" hidden="1" customHeight="1" outlineLevel="1">
      <c r="A126" s="51" t="s">
        <v>1229</v>
      </c>
      <c r="B126" s="52" t="s">
        <v>1179</v>
      </c>
      <c r="C126" s="53" t="s">
        <v>1269</v>
      </c>
      <c r="D126" s="53" t="s">
        <v>1017</v>
      </c>
      <c r="E126" s="53" t="s">
        <v>1137</v>
      </c>
      <c r="F126" s="51"/>
      <c r="G126" s="51"/>
      <c r="H126" s="51"/>
      <c r="I126" s="51"/>
      <c r="J126" s="51"/>
      <c r="K126" s="51"/>
      <c r="L126" s="51"/>
      <c r="M126" s="16"/>
    </row>
    <row r="127" spans="1:13" ht="29.25" hidden="1" customHeight="1" outlineLevel="1">
      <c r="A127" s="51" t="s">
        <v>1229</v>
      </c>
      <c r="B127" s="52" t="s">
        <v>1179</v>
      </c>
      <c r="C127" s="53" t="s">
        <v>1269</v>
      </c>
      <c r="D127" s="53" t="s">
        <v>1020</v>
      </c>
      <c r="E127" s="53" t="s">
        <v>1137</v>
      </c>
      <c r="F127" s="51"/>
      <c r="G127" s="51"/>
      <c r="H127" s="51"/>
      <c r="I127" s="51"/>
      <c r="J127" s="51"/>
      <c r="K127" s="51"/>
      <c r="L127" s="51"/>
      <c r="M127" s="16"/>
    </row>
    <row r="128" spans="1:13" ht="29.25" hidden="1" customHeight="1" outlineLevel="1">
      <c r="A128" s="51" t="s">
        <v>1229</v>
      </c>
      <c r="B128" s="52" t="s">
        <v>1179</v>
      </c>
      <c r="C128" s="53" t="s">
        <v>1269</v>
      </c>
      <c r="D128" s="53" t="s">
        <v>1181</v>
      </c>
      <c r="E128" s="53" t="s">
        <v>1137</v>
      </c>
      <c r="F128" s="51"/>
      <c r="G128" s="51"/>
      <c r="H128" s="51"/>
      <c r="I128" s="51"/>
      <c r="J128" s="51"/>
      <c r="K128" s="51"/>
      <c r="L128" s="51"/>
      <c r="M128" s="16"/>
    </row>
    <row r="129" spans="1:13" ht="29.25" hidden="1" customHeight="1" outlineLevel="1">
      <c r="A129" s="51" t="s">
        <v>1229</v>
      </c>
      <c r="B129" s="52" t="s">
        <v>1179</v>
      </c>
      <c r="C129" s="53" t="s">
        <v>1269</v>
      </c>
      <c r="D129" s="53" t="s">
        <v>1023</v>
      </c>
      <c r="E129" s="53" t="s">
        <v>1137</v>
      </c>
      <c r="F129" s="51"/>
      <c r="G129" s="51"/>
      <c r="H129" s="51"/>
      <c r="I129" s="51"/>
      <c r="J129" s="51"/>
      <c r="K129" s="51"/>
      <c r="L129" s="51"/>
      <c r="M129" s="16"/>
    </row>
    <row r="130" spans="1:13" ht="29.25" hidden="1" customHeight="1" outlineLevel="1">
      <c r="A130" s="51" t="s">
        <v>1229</v>
      </c>
      <c r="B130" s="52" t="s">
        <v>1179</v>
      </c>
      <c r="C130" s="53" t="s">
        <v>1269</v>
      </c>
      <c r="D130" s="53" t="s">
        <v>1030</v>
      </c>
      <c r="E130" s="53" t="s">
        <v>1137</v>
      </c>
      <c r="F130" s="51"/>
      <c r="G130" s="51"/>
      <c r="H130" s="51"/>
      <c r="I130" s="51"/>
      <c r="J130" s="51"/>
      <c r="K130" s="51"/>
      <c r="L130" s="51"/>
      <c r="M130" s="16"/>
    </row>
    <row r="131" spans="1:13" ht="29.25" hidden="1" customHeight="1" outlineLevel="1">
      <c r="A131" s="51" t="s">
        <v>1229</v>
      </c>
      <c r="B131" s="52" t="s">
        <v>1179</v>
      </c>
      <c r="C131" s="53" t="s">
        <v>1269</v>
      </c>
      <c r="D131" s="53" t="s">
        <v>1032</v>
      </c>
      <c r="E131" s="53" t="s">
        <v>1137</v>
      </c>
      <c r="F131" s="51"/>
      <c r="G131" s="51"/>
      <c r="H131" s="51"/>
      <c r="I131" s="51"/>
      <c r="J131" s="51"/>
      <c r="K131" s="51"/>
      <c r="L131" s="51"/>
      <c r="M131" s="16"/>
    </row>
    <row r="132" spans="1:13" ht="29.25" customHeight="1" collapsed="1">
      <c r="A132" s="51" t="s">
        <v>1229</v>
      </c>
      <c r="B132" s="52" t="s">
        <v>1270</v>
      </c>
      <c r="C132" s="53" t="s">
        <v>1269</v>
      </c>
      <c r="D132" s="55" t="s">
        <v>1182</v>
      </c>
      <c r="E132" s="52" t="s">
        <v>1137</v>
      </c>
      <c r="F132" s="51"/>
      <c r="G132" s="51"/>
      <c r="H132" s="51"/>
      <c r="I132" s="51"/>
      <c r="J132" s="51"/>
      <c r="K132" s="51"/>
      <c r="L132" s="51"/>
      <c r="M132" s="16"/>
    </row>
    <row r="133" spans="1:13" ht="29.25" hidden="1" customHeight="1" outlineLevel="1">
      <c r="A133" s="51" t="s">
        <v>1229</v>
      </c>
      <c r="B133" s="52" t="s">
        <v>1270</v>
      </c>
      <c r="C133" s="53" t="s">
        <v>1269</v>
      </c>
      <c r="D133" s="52" t="s">
        <v>1183</v>
      </c>
      <c r="E133" s="52" t="s">
        <v>1137</v>
      </c>
      <c r="F133" s="51"/>
      <c r="G133" s="51"/>
      <c r="H133" s="51"/>
      <c r="I133" s="51"/>
      <c r="J133" s="51"/>
      <c r="K133" s="51"/>
      <c r="L133" s="51"/>
      <c r="M133" s="16"/>
    </row>
    <row r="134" spans="1:13" ht="57.75" hidden="1" customHeight="1" outlineLevel="1">
      <c r="A134" s="51" t="s">
        <v>1229</v>
      </c>
      <c r="B134" s="52" t="s">
        <v>1270</v>
      </c>
      <c r="C134" s="53" t="s">
        <v>1269</v>
      </c>
      <c r="D134" s="52" t="s">
        <v>1184</v>
      </c>
      <c r="E134" s="52" t="s">
        <v>1137</v>
      </c>
      <c r="F134" s="51"/>
      <c r="G134" s="51"/>
      <c r="H134" s="51"/>
      <c r="I134" s="51"/>
      <c r="J134" s="51"/>
      <c r="K134" s="51"/>
      <c r="L134" s="51"/>
      <c r="M134" s="16"/>
    </row>
    <row r="135" spans="1:13" ht="29.25" hidden="1" customHeight="1" outlineLevel="1">
      <c r="A135" s="51" t="s">
        <v>1229</v>
      </c>
      <c r="B135" s="52" t="s">
        <v>1270</v>
      </c>
      <c r="C135" s="53" t="s">
        <v>1269</v>
      </c>
      <c r="D135" s="52" t="s">
        <v>1185</v>
      </c>
      <c r="E135" s="52" t="s">
        <v>1137</v>
      </c>
      <c r="F135" s="51"/>
      <c r="G135" s="51"/>
      <c r="H135" s="51"/>
      <c r="I135" s="51"/>
      <c r="J135" s="51"/>
      <c r="K135" s="51"/>
      <c r="L135" s="51"/>
      <c r="M135" s="16"/>
    </row>
    <row r="136" spans="1:13" ht="43.5" hidden="1" customHeight="1" outlineLevel="1">
      <c r="A136" s="51" t="s">
        <v>1229</v>
      </c>
      <c r="B136" s="52" t="s">
        <v>1270</v>
      </c>
      <c r="C136" s="53" t="s">
        <v>1269</v>
      </c>
      <c r="D136" s="52" t="s">
        <v>1186</v>
      </c>
      <c r="E136" s="52" t="s">
        <v>1137</v>
      </c>
      <c r="F136" s="51"/>
      <c r="G136" s="51"/>
      <c r="H136" s="51"/>
      <c r="I136" s="51"/>
      <c r="J136" s="51"/>
      <c r="K136" s="51"/>
      <c r="L136" s="51"/>
      <c r="M136" s="16"/>
    </row>
    <row r="137" spans="1:13" ht="29.25" customHeight="1" collapsed="1">
      <c r="A137" s="51" t="s">
        <v>1229</v>
      </c>
      <c r="B137" s="52" t="s">
        <v>310</v>
      </c>
      <c r="C137" s="53" t="s">
        <v>1079</v>
      </c>
      <c r="D137" s="54" t="s">
        <v>1187</v>
      </c>
      <c r="E137" s="53" t="s">
        <v>1137</v>
      </c>
      <c r="F137" s="51"/>
      <c r="G137" s="51"/>
      <c r="H137" s="51"/>
      <c r="I137" s="51"/>
      <c r="J137" s="51"/>
      <c r="K137" s="51"/>
      <c r="L137" s="51"/>
      <c r="M137" s="16"/>
    </row>
    <row r="138" spans="1:13" ht="29.25" hidden="1" customHeight="1" outlineLevel="1">
      <c r="A138" s="51" t="s">
        <v>1229</v>
      </c>
      <c r="B138" s="52" t="s">
        <v>310</v>
      </c>
      <c r="C138" s="53" t="s">
        <v>1079</v>
      </c>
      <c r="D138" s="53" t="s">
        <v>1188</v>
      </c>
      <c r="E138" s="53" t="s">
        <v>1137</v>
      </c>
      <c r="F138" s="51"/>
      <c r="G138" s="51"/>
      <c r="H138" s="51"/>
      <c r="I138" s="51"/>
      <c r="J138" s="51"/>
      <c r="K138" s="51"/>
      <c r="L138" s="51"/>
      <c r="M138" s="16"/>
    </row>
    <row r="139" spans="1:13" ht="29.25" hidden="1" customHeight="1" outlineLevel="1">
      <c r="A139" s="51" t="s">
        <v>1229</v>
      </c>
      <c r="B139" s="52" t="s">
        <v>310</v>
      </c>
      <c r="C139" s="53" t="s">
        <v>1079</v>
      </c>
      <c r="D139" s="53" t="s">
        <v>1189</v>
      </c>
      <c r="E139" s="53" t="s">
        <v>1137</v>
      </c>
      <c r="F139" s="51"/>
      <c r="G139" s="51"/>
      <c r="H139" s="51"/>
      <c r="I139" s="51"/>
      <c r="J139" s="51"/>
      <c r="K139" s="51"/>
      <c r="L139" s="51"/>
      <c r="M139" s="16"/>
    </row>
    <row r="140" spans="1:13" ht="29.25" hidden="1" customHeight="1" outlineLevel="1">
      <c r="A140" s="51" t="s">
        <v>1229</v>
      </c>
      <c r="B140" s="52" t="s">
        <v>310</v>
      </c>
      <c r="C140" s="53" t="s">
        <v>1079</v>
      </c>
      <c r="D140" s="53" t="s">
        <v>1190</v>
      </c>
      <c r="E140" s="53" t="s">
        <v>1137</v>
      </c>
      <c r="F140" s="51"/>
      <c r="G140" s="51"/>
      <c r="H140" s="51"/>
      <c r="I140" s="51"/>
      <c r="J140" s="51"/>
      <c r="K140" s="51"/>
      <c r="L140" s="51"/>
      <c r="M140" s="16"/>
    </row>
    <row r="141" spans="1:13" ht="29.25" hidden="1" customHeight="1" outlineLevel="1">
      <c r="A141" s="51" t="s">
        <v>1229</v>
      </c>
      <c r="B141" s="52" t="s">
        <v>310</v>
      </c>
      <c r="C141" s="53" t="s">
        <v>1079</v>
      </c>
      <c r="D141" s="53" t="s">
        <v>1191</v>
      </c>
      <c r="E141" s="53" t="s">
        <v>1137</v>
      </c>
      <c r="F141" s="51"/>
      <c r="G141" s="51"/>
      <c r="H141" s="51"/>
      <c r="I141" s="51"/>
      <c r="J141" s="51"/>
      <c r="K141" s="51"/>
      <c r="L141" s="51"/>
      <c r="M141" s="16"/>
    </row>
    <row r="142" spans="1:13" ht="29.25" hidden="1" customHeight="1" outlineLevel="1">
      <c r="A142" s="51" t="s">
        <v>1229</v>
      </c>
      <c r="B142" s="52" t="s">
        <v>310</v>
      </c>
      <c r="C142" s="53" t="s">
        <v>1079</v>
      </c>
      <c r="D142" s="53" t="s">
        <v>1192</v>
      </c>
      <c r="E142" s="53" t="s">
        <v>1137</v>
      </c>
      <c r="F142" s="51"/>
      <c r="G142" s="51"/>
      <c r="H142" s="51"/>
      <c r="I142" s="51"/>
      <c r="J142" s="51"/>
      <c r="K142" s="51"/>
      <c r="L142" s="51"/>
      <c r="M142" s="16"/>
    </row>
    <row r="143" spans="1:13" ht="29.25" hidden="1" customHeight="1" outlineLevel="1">
      <c r="A143" s="51" t="s">
        <v>1229</v>
      </c>
      <c r="B143" s="52" t="s">
        <v>310</v>
      </c>
      <c r="C143" s="53" t="s">
        <v>1079</v>
      </c>
      <c r="D143" s="53" t="s">
        <v>1193</v>
      </c>
      <c r="E143" s="53" t="s">
        <v>1137</v>
      </c>
      <c r="F143" s="51"/>
      <c r="G143" s="51"/>
      <c r="H143" s="51"/>
      <c r="I143" s="51"/>
      <c r="J143" s="51"/>
      <c r="K143" s="51"/>
      <c r="L143" s="51"/>
      <c r="M143" s="16"/>
    </row>
    <row r="144" spans="1:13" ht="29.25" hidden="1" customHeight="1" outlineLevel="1">
      <c r="A144" s="51" t="s">
        <v>1229</v>
      </c>
      <c r="B144" s="52" t="s">
        <v>310</v>
      </c>
      <c r="C144" s="53" t="s">
        <v>1079</v>
      </c>
      <c r="D144" s="53" t="s">
        <v>1194</v>
      </c>
      <c r="E144" s="53" t="s">
        <v>1137</v>
      </c>
      <c r="F144" s="51"/>
      <c r="G144" s="51"/>
      <c r="H144" s="51"/>
      <c r="I144" s="51"/>
      <c r="J144" s="51"/>
      <c r="K144" s="51"/>
      <c r="L144" s="51"/>
      <c r="M144" s="16"/>
    </row>
    <row r="145" spans="1:13" ht="29.25" hidden="1" customHeight="1" outlineLevel="1">
      <c r="A145" s="51" t="s">
        <v>1229</v>
      </c>
      <c r="B145" s="52" t="s">
        <v>310</v>
      </c>
      <c r="C145" s="53" t="s">
        <v>1079</v>
      </c>
      <c r="D145" s="53" t="s">
        <v>1195</v>
      </c>
      <c r="E145" s="53" t="s">
        <v>1137</v>
      </c>
      <c r="F145" s="51"/>
      <c r="G145" s="51"/>
      <c r="H145" s="51"/>
      <c r="I145" s="51"/>
      <c r="J145" s="51"/>
      <c r="K145" s="51"/>
      <c r="L145" s="51"/>
      <c r="M145" s="16"/>
    </row>
    <row r="146" spans="1:13" ht="29.25" hidden="1" customHeight="1" outlineLevel="1">
      <c r="A146" s="51" t="s">
        <v>1229</v>
      </c>
      <c r="B146" s="52" t="s">
        <v>310</v>
      </c>
      <c r="C146" s="53" t="s">
        <v>1079</v>
      </c>
      <c r="D146" s="53" t="s">
        <v>1196</v>
      </c>
      <c r="E146" s="53" t="s">
        <v>1137</v>
      </c>
      <c r="F146" s="51"/>
      <c r="G146" s="51"/>
      <c r="H146" s="51"/>
      <c r="I146" s="51"/>
      <c r="J146" s="51"/>
      <c r="K146" s="51"/>
      <c r="L146" s="51"/>
      <c r="M146" s="16"/>
    </row>
    <row r="147" spans="1:13" ht="29.25" hidden="1" customHeight="1" outlineLevel="1">
      <c r="A147" s="51" t="s">
        <v>1229</v>
      </c>
      <c r="B147" s="52" t="s">
        <v>310</v>
      </c>
      <c r="C147" s="53" t="s">
        <v>1079</v>
      </c>
      <c r="D147" s="53" t="s">
        <v>1197</v>
      </c>
      <c r="E147" s="53" t="s">
        <v>1137</v>
      </c>
      <c r="F147" s="51"/>
      <c r="G147" s="51"/>
      <c r="H147" s="51"/>
      <c r="I147" s="51"/>
      <c r="J147" s="51"/>
      <c r="K147" s="51"/>
      <c r="L147" s="51"/>
      <c r="M147" s="16"/>
    </row>
    <row r="148" spans="1:13" ht="29.25" hidden="1" customHeight="1" outlineLevel="1">
      <c r="A148" s="51" t="s">
        <v>1229</v>
      </c>
      <c r="B148" s="52" t="s">
        <v>310</v>
      </c>
      <c r="C148" s="53" t="s">
        <v>1079</v>
      </c>
      <c r="D148" s="53" t="s">
        <v>1198</v>
      </c>
      <c r="E148" s="53" t="s">
        <v>1137</v>
      </c>
      <c r="F148" s="51"/>
      <c r="G148" s="51"/>
      <c r="H148" s="51"/>
      <c r="I148" s="51"/>
      <c r="J148" s="51"/>
      <c r="K148" s="51"/>
      <c r="L148" s="51"/>
      <c r="M148" s="16"/>
    </row>
    <row r="149" spans="1:13" ht="29.25" customHeight="1" collapsed="1">
      <c r="A149" s="51" t="s">
        <v>1229</v>
      </c>
      <c r="B149" s="52" t="s">
        <v>46</v>
      </c>
      <c r="C149" s="53" t="s">
        <v>1075</v>
      </c>
      <c r="D149" s="54" t="s">
        <v>1199</v>
      </c>
      <c r="E149" s="53" t="s">
        <v>1137</v>
      </c>
      <c r="F149" s="32" t="s">
        <v>303</v>
      </c>
      <c r="G149" s="51"/>
      <c r="H149" s="51"/>
      <c r="I149" s="51"/>
      <c r="J149" s="51"/>
      <c r="K149" s="51"/>
      <c r="L149" s="51"/>
      <c r="M149" s="16"/>
    </row>
    <row r="150" spans="1:13" ht="29.25" hidden="1" customHeight="1" outlineLevel="1">
      <c r="A150" s="51" t="s">
        <v>1229</v>
      </c>
      <c r="B150" s="52" t="s">
        <v>46</v>
      </c>
      <c r="C150" s="53" t="s">
        <v>1075</v>
      </c>
      <c r="D150" s="53" t="s">
        <v>1200</v>
      </c>
      <c r="E150" s="53" t="s">
        <v>1137</v>
      </c>
      <c r="F150" s="51"/>
      <c r="G150" s="51"/>
      <c r="H150" s="51"/>
      <c r="I150" s="51"/>
      <c r="J150" s="51"/>
      <c r="K150" s="51"/>
      <c r="L150" s="44"/>
      <c r="M150" s="16"/>
    </row>
    <row r="151" spans="1:13" ht="29.25" hidden="1" customHeight="1" outlineLevel="1">
      <c r="A151" s="51" t="s">
        <v>1229</v>
      </c>
      <c r="B151" s="52" t="s">
        <v>46</v>
      </c>
      <c r="C151" s="53" t="s">
        <v>1075</v>
      </c>
      <c r="D151" s="53" t="s">
        <v>1201</v>
      </c>
      <c r="E151" s="53" t="s">
        <v>1137</v>
      </c>
      <c r="F151" s="51"/>
      <c r="G151" s="51"/>
      <c r="H151" s="51"/>
      <c r="I151" s="51"/>
      <c r="J151" s="51"/>
      <c r="K151" s="51"/>
      <c r="L151" s="44"/>
      <c r="M151" s="16"/>
    </row>
    <row r="152" spans="1:13" ht="29.25" hidden="1" customHeight="1" outlineLevel="1">
      <c r="A152" s="51" t="s">
        <v>1229</v>
      </c>
      <c r="B152" s="52" t="s">
        <v>46</v>
      </c>
      <c r="C152" s="53" t="s">
        <v>1075</v>
      </c>
      <c r="D152" s="53" t="s">
        <v>1202</v>
      </c>
      <c r="E152" s="53" t="s">
        <v>1137</v>
      </c>
      <c r="F152" s="51"/>
      <c r="G152" s="51"/>
      <c r="H152" s="51"/>
      <c r="I152" s="51"/>
      <c r="J152" s="51"/>
      <c r="K152" s="51"/>
      <c r="L152" s="44"/>
      <c r="M152" s="16"/>
    </row>
    <row r="153" spans="1:13" ht="29.25" hidden="1" customHeight="1" outlineLevel="1">
      <c r="A153" s="51" t="s">
        <v>1229</v>
      </c>
      <c r="B153" s="52" t="s">
        <v>46</v>
      </c>
      <c r="C153" s="53" t="s">
        <v>1075</v>
      </c>
      <c r="D153" s="53" t="s">
        <v>1203</v>
      </c>
      <c r="E153" s="53" t="s">
        <v>1137</v>
      </c>
      <c r="F153" s="51"/>
      <c r="G153" s="51"/>
      <c r="H153" s="51"/>
      <c r="I153" s="51"/>
      <c r="J153" s="51"/>
      <c r="K153" s="51"/>
      <c r="L153" s="44"/>
      <c r="M153" s="16"/>
    </row>
    <row r="154" spans="1:13" ht="29.25" hidden="1" customHeight="1" outlineLevel="1">
      <c r="A154" s="51" t="s">
        <v>1229</v>
      </c>
      <c r="B154" s="52" t="s">
        <v>46</v>
      </c>
      <c r="C154" s="53" t="s">
        <v>1075</v>
      </c>
      <c r="D154" s="53" t="s">
        <v>1204</v>
      </c>
      <c r="E154" s="53" t="s">
        <v>1137</v>
      </c>
      <c r="F154" s="51"/>
      <c r="G154" s="51"/>
      <c r="H154" s="51"/>
      <c r="I154" s="51"/>
      <c r="J154" s="51"/>
      <c r="K154" s="51"/>
      <c r="L154" s="44"/>
      <c r="M154" s="16"/>
    </row>
    <row r="155" spans="1:13" ht="29.25" hidden="1" customHeight="1" outlineLevel="1">
      <c r="A155" s="51" t="s">
        <v>1229</v>
      </c>
      <c r="B155" s="52" t="s">
        <v>46</v>
      </c>
      <c r="C155" s="53" t="s">
        <v>1075</v>
      </c>
      <c r="D155" s="53" t="s">
        <v>1205</v>
      </c>
      <c r="E155" s="53" t="s">
        <v>1137</v>
      </c>
      <c r="F155" s="51"/>
      <c r="G155" s="51"/>
      <c r="H155" s="51"/>
      <c r="I155" s="51"/>
      <c r="J155" s="51"/>
      <c r="K155" s="51"/>
      <c r="L155" s="44"/>
      <c r="M155" s="16"/>
    </row>
    <row r="156" spans="1:13" ht="29.25" hidden="1" customHeight="1" outlineLevel="1">
      <c r="A156" s="51" t="s">
        <v>1229</v>
      </c>
      <c r="B156" s="52" t="s">
        <v>46</v>
      </c>
      <c r="C156" s="53" t="s">
        <v>1075</v>
      </c>
      <c r="D156" s="53" t="s">
        <v>1206</v>
      </c>
      <c r="E156" s="53" t="s">
        <v>1137</v>
      </c>
      <c r="F156" s="51"/>
      <c r="G156" s="51"/>
      <c r="H156" s="51"/>
      <c r="I156" s="51"/>
      <c r="J156" s="51"/>
      <c r="K156" s="51"/>
      <c r="L156" s="44"/>
      <c r="M156" s="16"/>
    </row>
    <row r="157" spans="1:13" ht="29.25" customHeight="1">
      <c r="A157" s="56" t="s">
        <v>1229</v>
      </c>
      <c r="B157" s="57" t="s">
        <v>83</v>
      </c>
      <c r="C157" s="57" t="s">
        <v>1208</v>
      </c>
      <c r="D157" s="58" t="s">
        <v>1271</v>
      </c>
      <c r="E157" s="57" t="s">
        <v>1220</v>
      </c>
      <c r="F157" s="32" t="s">
        <v>303</v>
      </c>
      <c r="G157" s="56"/>
      <c r="H157" s="56"/>
      <c r="I157" s="56"/>
      <c r="J157" s="56"/>
      <c r="K157" s="56"/>
      <c r="L157" s="56"/>
      <c r="M157" s="16"/>
    </row>
    <row r="158" spans="1:13" ht="43.5" customHeight="1" collapsed="1">
      <c r="A158" s="56" t="s">
        <v>1229</v>
      </c>
      <c r="B158" s="57" t="s">
        <v>86</v>
      </c>
      <c r="C158" s="57" t="s">
        <v>1209</v>
      </c>
      <c r="D158" s="58" t="s">
        <v>1210</v>
      </c>
      <c r="E158" s="57" t="s">
        <v>1207</v>
      </c>
      <c r="F158" s="32" t="s">
        <v>303</v>
      </c>
      <c r="G158" s="59"/>
      <c r="H158" s="59"/>
      <c r="I158" s="59"/>
      <c r="J158" s="59"/>
      <c r="K158" s="59"/>
      <c r="L158" s="56"/>
      <c r="M158" s="16"/>
    </row>
    <row r="159" spans="1:13" ht="43.5" hidden="1" customHeight="1" outlineLevel="1">
      <c r="A159" s="56" t="s">
        <v>1229</v>
      </c>
      <c r="B159" s="57" t="s">
        <v>86</v>
      </c>
      <c r="C159" s="57" t="s">
        <v>1209</v>
      </c>
      <c r="D159" s="57" t="s">
        <v>1211</v>
      </c>
      <c r="E159" s="57" t="s">
        <v>1207</v>
      </c>
      <c r="F159" s="32" t="s">
        <v>303</v>
      </c>
      <c r="G159" s="59"/>
      <c r="H159" s="59"/>
      <c r="I159" s="59"/>
      <c r="J159" s="59"/>
      <c r="K159" s="59"/>
      <c r="L159" s="56"/>
      <c r="M159" s="16"/>
    </row>
    <row r="160" spans="1:13" ht="43.5" hidden="1" customHeight="1" outlineLevel="1">
      <c r="A160" s="56" t="s">
        <v>1229</v>
      </c>
      <c r="B160" s="57" t="s">
        <v>86</v>
      </c>
      <c r="C160" s="57" t="s">
        <v>1209</v>
      </c>
      <c r="D160" s="57" t="s">
        <v>1212</v>
      </c>
      <c r="E160" s="57" t="s">
        <v>1207</v>
      </c>
      <c r="F160" s="32" t="s">
        <v>303</v>
      </c>
      <c r="G160" s="59"/>
      <c r="H160" s="59"/>
      <c r="I160" s="59"/>
      <c r="J160" s="59"/>
      <c r="K160" s="59"/>
      <c r="L160" s="56"/>
      <c r="M160" s="16"/>
    </row>
    <row r="161" spans="1:13" ht="43.5" hidden="1" customHeight="1" outlineLevel="1">
      <c r="A161" s="56" t="s">
        <v>1229</v>
      </c>
      <c r="B161" s="57" t="s">
        <v>86</v>
      </c>
      <c r="C161" s="57" t="s">
        <v>1209</v>
      </c>
      <c r="D161" s="57" t="s">
        <v>1213</v>
      </c>
      <c r="E161" s="57" t="s">
        <v>1207</v>
      </c>
      <c r="F161" s="32" t="s">
        <v>303</v>
      </c>
      <c r="G161" s="59"/>
      <c r="H161" s="59"/>
      <c r="I161" s="59"/>
      <c r="J161" s="59"/>
      <c r="K161" s="59"/>
      <c r="L161" s="56"/>
      <c r="M161" s="16"/>
    </row>
    <row r="162" spans="1:13" ht="43.5" customHeight="1" collapsed="1">
      <c r="A162" s="56" t="s">
        <v>1229</v>
      </c>
      <c r="B162" s="57" t="s">
        <v>86</v>
      </c>
      <c r="C162" s="57" t="s">
        <v>1209</v>
      </c>
      <c r="D162" s="58" t="s">
        <v>1214</v>
      </c>
      <c r="E162" s="57" t="s">
        <v>1207</v>
      </c>
      <c r="F162" s="32" t="s">
        <v>303</v>
      </c>
      <c r="G162" s="59"/>
      <c r="H162" s="59"/>
      <c r="I162" s="59"/>
      <c r="J162" s="59"/>
      <c r="K162" s="59"/>
      <c r="L162" s="56"/>
      <c r="M162" s="16"/>
    </row>
    <row r="163" spans="1:13" ht="43.5" hidden="1" customHeight="1" outlineLevel="1">
      <c r="A163" s="56" t="s">
        <v>1229</v>
      </c>
      <c r="B163" s="57" t="s">
        <v>86</v>
      </c>
      <c r="C163" s="57" t="s">
        <v>1209</v>
      </c>
      <c r="D163" s="57" t="s">
        <v>1216</v>
      </c>
      <c r="E163" s="57" t="s">
        <v>1207</v>
      </c>
      <c r="F163" s="59"/>
      <c r="G163" s="59"/>
      <c r="H163" s="59"/>
      <c r="I163" s="59"/>
      <c r="J163" s="59"/>
      <c r="K163" s="59"/>
      <c r="L163" s="56"/>
      <c r="M163" s="16"/>
    </row>
    <row r="164" spans="1:13" ht="43.5" hidden="1" customHeight="1" outlineLevel="1">
      <c r="A164" s="56" t="s">
        <v>1229</v>
      </c>
      <c r="B164" s="57" t="s">
        <v>86</v>
      </c>
      <c r="C164" s="57" t="s">
        <v>1209</v>
      </c>
      <c r="D164" s="57" t="s">
        <v>1217</v>
      </c>
      <c r="E164" s="57" t="s">
        <v>1207</v>
      </c>
      <c r="F164" s="59"/>
      <c r="G164" s="59"/>
      <c r="H164" s="59"/>
      <c r="I164" s="59"/>
      <c r="J164" s="59"/>
      <c r="K164" s="59"/>
      <c r="L164" s="56"/>
      <c r="M164" s="16"/>
    </row>
    <row r="165" spans="1:13" ht="43.5" hidden="1" customHeight="1" outlineLevel="1">
      <c r="A165" s="56" t="s">
        <v>1229</v>
      </c>
      <c r="B165" s="57" t="s">
        <v>86</v>
      </c>
      <c r="C165" s="57" t="s">
        <v>1209</v>
      </c>
      <c r="D165" s="57" t="s">
        <v>1218</v>
      </c>
      <c r="E165" s="57" t="s">
        <v>1207</v>
      </c>
      <c r="F165" s="59"/>
      <c r="G165" s="59"/>
      <c r="H165" s="59"/>
      <c r="I165" s="59"/>
      <c r="J165" s="59"/>
      <c r="K165" s="59"/>
      <c r="L165" s="56"/>
      <c r="M165" s="16"/>
    </row>
    <row r="166" spans="1:13" ht="43.5" hidden="1" customHeight="1" outlineLevel="1">
      <c r="A166" s="56" t="s">
        <v>1229</v>
      </c>
      <c r="B166" s="57" t="s">
        <v>86</v>
      </c>
      <c r="C166" s="57" t="s">
        <v>1209</v>
      </c>
      <c r="D166" s="57" t="s">
        <v>1219</v>
      </c>
      <c r="E166" s="57" t="s">
        <v>1207</v>
      </c>
      <c r="F166" s="59"/>
      <c r="G166" s="59"/>
      <c r="H166" s="59"/>
      <c r="I166" s="59"/>
      <c r="J166" s="59"/>
      <c r="K166" s="59"/>
      <c r="L166" s="56"/>
      <c r="M166" s="16"/>
    </row>
    <row r="167" spans="1:13" ht="29.25" customHeight="1" collapsed="1">
      <c r="A167" s="56" t="s">
        <v>1229</v>
      </c>
      <c r="B167" s="57" t="s">
        <v>86</v>
      </c>
      <c r="C167" s="57" t="s">
        <v>1209</v>
      </c>
      <c r="D167" s="58" t="s">
        <v>1272</v>
      </c>
      <c r="E167" s="57" t="s">
        <v>1220</v>
      </c>
      <c r="F167" s="32" t="s">
        <v>303</v>
      </c>
      <c r="G167" s="56"/>
      <c r="H167" s="56"/>
      <c r="I167" s="56"/>
      <c r="J167" s="56"/>
      <c r="K167" s="56"/>
      <c r="L167" s="56"/>
      <c r="M167" s="16"/>
    </row>
    <row r="168" spans="1:13" ht="29.25" customHeight="1" collapsed="1">
      <c r="A168" s="56" t="s">
        <v>1229</v>
      </c>
      <c r="B168" s="57" t="s">
        <v>86</v>
      </c>
      <c r="C168" s="57" t="s">
        <v>1209</v>
      </c>
      <c r="D168" s="58" t="s">
        <v>1221</v>
      </c>
      <c r="E168" s="57" t="s">
        <v>1106</v>
      </c>
      <c r="F168" s="32" t="s">
        <v>303</v>
      </c>
      <c r="G168" s="56"/>
      <c r="H168" s="56"/>
      <c r="I168" s="56"/>
      <c r="J168" s="56"/>
      <c r="K168" s="56"/>
      <c r="L168" s="56"/>
      <c r="M168" s="16"/>
    </row>
    <row r="169" spans="1:13" ht="29.25" hidden="1" customHeight="1" outlineLevel="1">
      <c r="A169" s="56" t="s">
        <v>1229</v>
      </c>
      <c r="B169" s="57" t="s">
        <v>86</v>
      </c>
      <c r="C169" s="57" t="s">
        <v>1209</v>
      </c>
      <c r="D169" s="57" t="s">
        <v>1222</v>
      </c>
      <c r="E169" s="57" t="s">
        <v>1106</v>
      </c>
      <c r="F169" s="32" t="s">
        <v>303</v>
      </c>
      <c r="G169" s="56"/>
      <c r="H169" s="56"/>
      <c r="I169" s="56"/>
      <c r="J169" s="56"/>
      <c r="K169" s="56"/>
      <c r="L169" s="44"/>
      <c r="M169" s="16"/>
    </row>
    <row r="170" spans="1:13" ht="29.25" hidden="1" customHeight="1" outlineLevel="1">
      <c r="A170" s="56" t="s">
        <v>1229</v>
      </c>
      <c r="B170" s="57" t="s">
        <v>86</v>
      </c>
      <c r="C170" s="57" t="s">
        <v>1209</v>
      </c>
      <c r="D170" s="57" t="s">
        <v>1223</v>
      </c>
      <c r="E170" s="57" t="s">
        <v>1106</v>
      </c>
      <c r="F170" s="32" t="s">
        <v>303</v>
      </c>
      <c r="G170" s="56"/>
      <c r="H170" s="56"/>
      <c r="I170" s="56"/>
      <c r="J170" s="56"/>
      <c r="K170" s="56"/>
      <c r="L170" s="44"/>
      <c r="M170" s="16"/>
    </row>
    <row r="171" spans="1:13" ht="29.25" hidden="1" customHeight="1" outlineLevel="1">
      <c r="A171" s="56" t="s">
        <v>1229</v>
      </c>
      <c r="B171" s="57" t="s">
        <v>86</v>
      </c>
      <c r="C171" s="57" t="s">
        <v>1209</v>
      </c>
      <c r="D171" s="57" t="s">
        <v>1224</v>
      </c>
      <c r="E171" s="57" t="s">
        <v>1106</v>
      </c>
      <c r="F171" s="32" t="s">
        <v>303</v>
      </c>
      <c r="G171" s="56"/>
      <c r="H171" s="56"/>
      <c r="I171" s="56"/>
      <c r="J171" s="56"/>
      <c r="K171" s="56"/>
      <c r="L171" s="44"/>
      <c r="M171" s="16"/>
    </row>
    <row r="172" spans="1:13" ht="29.25" customHeight="1" collapsed="1">
      <c r="A172" s="60" t="s">
        <v>1229</v>
      </c>
      <c r="B172" s="61" t="s">
        <v>102</v>
      </c>
      <c r="C172" s="62" t="s">
        <v>1071</v>
      </c>
      <c r="D172" s="63" t="s">
        <v>1225</v>
      </c>
      <c r="E172" s="62" t="s">
        <v>1137</v>
      </c>
      <c r="F172" s="32" t="s">
        <v>303</v>
      </c>
      <c r="G172" s="60"/>
      <c r="H172" s="60"/>
      <c r="I172" s="60"/>
      <c r="J172" s="60"/>
      <c r="K172" s="60"/>
      <c r="L172" s="60"/>
      <c r="M172" s="16"/>
    </row>
    <row r="173" spans="1:13" ht="29.25" hidden="1" customHeight="1" outlineLevel="1">
      <c r="A173" s="60" t="s">
        <v>1229</v>
      </c>
      <c r="B173" s="61" t="s">
        <v>102</v>
      </c>
      <c r="C173" s="62" t="s">
        <v>1071</v>
      </c>
      <c r="D173" s="62" t="s">
        <v>1226</v>
      </c>
      <c r="E173" s="62" t="s">
        <v>1137</v>
      </c>
      <c r="F173" s="32" t="s">
        <v>303</v>
      </c>
      <c r="G173" s="60"/>
      <c r="H173" s="60"/>
      <c r="I173" s="60"/>
      <c r="J173" s="60"/>
      <c r="K173" s="60"/>
      <c r="L173" s="60"/>
      <c r="M173" s="16"/>
    </row>
    <row r="174" spans="1:13" ht="29.25" hidden="1" customHeight="1" outlineLevel="1">
      <c r="A174" s="60" t="s">
        <v>1229</v>
      </c>
      <c r="B174" s="61" t="s">
        <v>102</v>
      </c>
      <c r="C174" s="62" t="s">
        <v>1071</v>
      </c>
      <c r="D174" s="62" t="s">
        <v>1227</v>
      </c>
      <c r="E174" s="62" t="s">
        <v>1137</v>
      </c>
      <c r="F174" s="32" t="s">
        <v>303</v>
      </c>
      <c r="G174" s="60"/>
      <c r="H174" s="60"/>
      <c r="I174" s="60"/>
      <c r="J174" s="60"/>
      <c r="K174" s="60"/>
      <c r="L174" s="60"/>
      <c r="M174" s="16"/>
    </row>
    <row r="175" spans="1:13" ht="28.5" customHeight="1" collapsed="1">
      <c r="A175" s="60" t="s">
        <v>1229</v>
      </c>
      <c r="B175" s="61" t="s">
        <v>111</v>
      </c>
      <c r="C175" s="62" t="s">
        <v>1273</v>
      </c>
      <c r="D175" s="63" t="s">
        <v>1228</v>
      </c>
      <c r="E175" s="62" t="s">
        <v>1137</v>
      </c>
      <c r="F175" s="32" t="s">
        <v>303</v>
      </c>
      <c r="G175" s="60"/>
      <c r="H175" s="60"/>
      <c r="I175" s="60"/>
      <c r="J175" s="60"/>
      <c r="K175" s="60"/>
      <c r="L175" s="60"/>
      <c r="M175" s="16"/>
    </row>
    <row r="176" spans="1:13" ht="28.5" hidden="1" customHeight="1" outlineLevel="1">
      <c r="A176" s="60" t="s">
        <v>1229</v>
      </c>
      <c r="B176" s="61" t="s">
        <v>111</v>
      </c>
      <c r="C176" s="62" t="s">
        <v>1273</v>
      </c>
      <c r="D176" s="62" t="s">
        <v>1230</v>
      </c>
      <c r="E176" s="62" t="s">
        <v>1137</v>
      </c>
      <c r="F176" s="32" t="s">
        <v>303</v>
      </c>
      <c r="G176" s="60"/>
      <c r="H176" s="60"/>
      <c r="I176" s="60"/>
      <c r="J176" s="60"/>
      <c r="K176" s="60"/>
      <c r="L176" s="44"/>
      <c r="M176" s="16"/>
    </row>
    <row r="177" spans="1:13" ht="28.5" hidden="1" customHeight="1" outlineLevel="1">
      <c r="A177" s="60" t="s">
        <v>1229</v>
      </c>
      <c r="B177" s="61" t="s">
        <v>111</v>
      </c>
      <c r="C177" s="62" t="s">
        <v>1273</v>
      </c>
      <c r="D177" s="62" t="s">
        <v>1231</v>
      </c>
      <c r="E177" s="62" t="s">
        <v>1137</v>
      </c>
      <c r="F177" s="32" t="s">
        <v>303</v>
      </c>
      <c r="G177" s="60"/>
      <c r="H177" s="60"/>
      <c r="I177" s="60"/>
      <c r="J177" s="60"/>
      <c r="K177" s="60"/>
      <c r="L177" s="44"/>
      <c r="M177" s="16"/>
    </row>
    <row r="178" spans="1:13" ht="29.25" customHeight="1" collapsed="1">
      <c r="A178" s="64" t="s">
        <v>1229</v>
      </c>
      <c r="B178" s="65" t="s">
        <v>140</v>
      </c>
      <c r="C178" s="65" t="s">
        <v>1274</v>
      </c>
      <c r="D178" s="66" t="s">
        <v>311</v>
      </c>
      <c r="E178" s="65" t="s">
        <v>1232</v>
      </c>
      <c r="F178" s="32" t="s">
        <v>303</v>
      </c>
      <c r="G178" s="64"/>
      <c r="H178" s="64"/>
      <c r="I178" s="64"/>
      <c r="J178" s="64"/>
      <c r="K178" s="64"/>
      <c r="L178" s="64"/>
      <c r="M178" s="16"/>
    </row>
    <row r="179" spans="1:13" ht="29.25" hidden="1" customHeight="1" outlineLevel="1">
      <c r="A179" s="64" t="s">
        <v>1229</v>
      </c>
      <c r="B179" s="65" t="s">
        <v>140</v>
      </c>
      <c r="C179" s="65" t="s">
        <v>1274</v>
      </c>
      <c r="D179" s="65" t="s">
        <v>1233</v>
      </c>
      <c r="E179" s="65" t="s">
        <v>1232</v>
      </c>
      <c r="F179" s="32" t="s">
        <v>303</v>
      </c>
      <c r="G179" s="64"/>
      <c r="H179" s="64"/>
      <c r="I179" s="64"/>
      <c r="J179" s="64"/>
      <c r="K179" s="64"/>
      <c r="L179" s="64"/>
      <c r="M179" s="16"/>
    </row>
    <row r="180" spans="1:13" ht="29.25" hidden="1" customHeight="1" outlineLevel="1">
      <c r="A180" s="64" t="s">
        <v>1229</v>
      </c>
      <c r="B180" s="65" t="s">
        <v>140</v>
      </c>
      <c r="C180" s="65" t="s">
        <v>1274</v>
      </c>
      <c r="D180" s="65" t="s">
        <v>1234</v>
      </c>
      <c r="E180" s="65" t="s">
        <v>1232</v>
      </c>
      <c r="F180" s="32" t="s">
        <v>303</v>
      </c>
      <c r="G180" s="64"/>
      <c r="H180" s="64"/>
      <c r="I180" s="64"/>
      <c r="J180" s="64"/>
      <c r="K180" s="64"/>
      <c r="L180" s="64"/>
      <c r="M180" s="16"/>
    </row>
    <row r="181" spans="1:13" ht="29.25" customHeight="1" collapsed="1">
      <c r="A181" s="64" t="s">
        <v>1229</v>
      </c>
      <c r="B181" s="65" t="s">
        <v>143</v>
      </c>
      <c r="C181" s="65" t="s">
        <v>1275</v>
      </c>
      <c r="D181" s="66" t="s">
        <v>1235</v>
      </c>
      <c r="E181" s="65" t="s">
        <v>1232</v>
      </c>
      <c r="F181" s="32" t="s">
        <v>303</v>
      </c>
      <c r="G181" s="64"/>
      <c r="H181" s="64"/>
      <c r="I181" s="64"/>
      <c r="J181" s="64"/>
      <c r="K181" s="64"/>
      <c r="L181" s="64"/>
      <c r="M181" s="16"/>
    </row>
    <row r="182" spans="1:13" ht="29.25" hidden="1" customHeight="1" outlineLevel="1">
      <c r="A182" s="64" t="s">
        <v>1229</v>
      </c>
      <c r="B182" s="65" t="s">
        <v>143</v>
      </c>
      <c r="C182" s="65" t="s">
        <v>1275</v>
      </c>
      <c r="D182" s="65" t="s">
        <v>1236</v>
      </c>
      <c r="E182" s="65" t="s">
        <v>1232</v>
      </c>
      <c r="F182" s="32" t="s">
        <v>303</v>
      </c>
      <c r="G182" s="64"/>
      <c r="H182" s="64"/>
      <c r="I182" s="64"/>
      <c r="J182" s="64"/>
      <c r="K182" s="64"/>
      <c r="L182" s="44"/>
      <c r="M182" s="16"/>
    </row>
    <row r="183" spans="1:13" ht="29.25" hidden="1" customHeight="1" outlineLevel="1">
      <c r="A183" s="64" t="s">
        <v>1229</v>
      </c>
      <c r="B183" s="65" t="s">
        <v>143</v>
      </c>
      <c r="C183" s="65" t="s">
        <v>1275</v>
      </c>
      <c r="D183" s="65" t="s">
        <v>1237</v>
      </c>
      <c r="E183" s="65" t="s">
        <v>1232</v>
      </c>
      <c r="F183" s="32" t="s">
        <v>303</v>
      </c>
      <c r="G183" s="64"/>
      <c r="H183" s="64"/>
      <c r="I183" s="64"/>
      <c r="J183" s="64"/>
      <c r="K183" s="64"/>
      <c r="L183" s="44"/>
      <c r="M183" s="16"/>
    </row>
    <row r="184" spans="1:13" ht="29.25" hidden="1" customHeight="1" outlineLevel="1">
      <c r="A184" s="64" t="s">
        <v>1229</v>
      </c>
      <c r="B184" s="65" t="s">
        <v>143</v>
      </c>
      <c r="C184" s="65" t="s">
        <v>1275</v>
      </c>
      <c r="D184" s="65" t="s">
        <v>1238</v>
      </c>
      <c r="E184" s="65" t="s">
        <v>1232</v>
      </c>
      <c r="F184" s="32" t="s">
        <v>303</v>
      </c>
      <c r="G184" s="64"/>
      <c r="H184" s="64"/>
      <c r="I184" s="64"/>
      <c r="J184" s="64"/>
      <c r="K184" s="64"/>
      <c r="L184" s="44"/>
      <c r="M184" s="16"/>
    </row>
    <row r="185" spans="1:13" ht="29.25" customHeight="1">
      <c r="A185" s="67" t="s">
        <v>1229</v>
      </c>
      <c r="B185" s="68" t="s">
        <v>153</v>
      </c>
      <c r="C185" s="69" t="s">
        <v>1276</v>
      </c>
      <c r="D185" s="70" t="s">
        <v>1277</v>
      </c>
      <c r="E185" s="71" t="s">
        <v>1220</v>
      </c>
      <c r="F185" s="32" t="s">
        <v>303</v>
      </c>
      <c r="G185" s="67"/>
      <c r="H185" s="67"/>
      <c r="I185" s="67"/>
      <c r="J185" s="67"/>
      <c r="K185" s="67"/>
      <c r="L185" s="67"/>
      <c r="M185" s="16"/>
    </row>
    <row r="186" spans="1:13" ht="32">
      <c r="A186" s="67" t="s">
        <v>1229</v>
      </c>
      <c r="B186" s="69" t="s">
        <v>156</v>
      </c>
      <c r="C186" s="69" t="s">
        <v>1278</v>
      </c>
      <c r="D186" s="70" t="s">
        <v>1239</v>
      </c>
      <c r="E186" s="71" t="s">
        <v>1220</v>
      </c>
      <c r="F186" s="32" t="s">
        <v>303</v>
      </c>
      <c r="G186" s="67"/>
      <c r="H186" s="67"/>
      <c r="I186" s="67"/>
      <c r="J186" s="67"/>
      <c r="K186" s="67"/>
      <c r="L186" s="67"/>
      <c r="M186" s="16"/>
    </row>
    <row r="187" spans="1:13">
      <c r="A187" s="72"/>
      <c r="B187" s="72"/>
      <c r="C187" s="72"/>
      <c r="D187" s="72"/>
      <c r="E187" s="72"/>
      <c r="F187" s="73"/>
      <c r="G187" s="73"/>
      <c r="H187" s="73"/>
      <c r="I187" s="73"/>
      <c r="J187" s="73"/>
      <c r="K187" s="73"/>
      <c r="L187" s="44"/>
      <c r="M187" s="16"/>
    </row>
  </sheetData>
  <protectedRanges>
    <protectedRange sqref="F8" name="Диапазон5_1_1_1"/>
    <protectedRange algorithmName="SHA-512" hashValue="h1LuOOQ9IZ+1ByxmpTIXrI1vO309hUQSjKA9NZF9cA4woJBg35/lr2zdHThGRvvxKX4fn/EJLe+8moKHoCwoMA==" saltValue="pzLgeDMVWL5IWQgRQ2/T/Q==" spinCount="100000" sqref="F8" name="Диапазон2_1_1_1"/>
    <protectedRange sqref="F9:F15" name="Диапазон5_1_1_1_2"/>
    <protectedRange algorithmName="SHA-512" hashValue="h1LuOOQ9IZ+1ByxmpTIXrI1vO309hUQSjKA9NZF9cA4woJBg35/lr2zdHThGRvvxKX4fn/EJLe+8moKHoCwoMA==" saltValue="pzLgeDMVWL5IWQgRQ2/T/Q==" spinCount="100000" sqref="F9:F15" name="Диапазон2_1_1_1_2"/>
    <protectedRange sqref="F63:F73" name="Диапазон5_1_1_1_3"/>
    <protectedRange algorithmName="SHA-512" hashValue="h1LuOOQ9IZ+1ByxmpTIXrI1vO309hUQSjKA9NZF9cA4woJBg35/lr2zdHThGRvvxKX4fn/EJLe+8moKHoCwoMA==" saltValue="pzLgeDMVWL5IWQgRQ2/T/Q==" spinCount="100000" sqref="F63:F73" name="Диапазон2_1_1_1_3"/>
    <protectedRange sqref="F22 F27:F33" name="Диапазон5_1_1_1_4"/>
    <protectedRange algorithmName="SHA-512" hashValue="h1LuOOQ9IZ+1ByxmpTIXrI1vO309hUQSjKA9NZF9cA4woJBg35/lr2zdHThGRvvxKX4fn/EJLe+8moKHoCwoMA==" saltValue="pzLgeDMVWL5IWQgRQ2/T/Q==" spinCount="100000" sqref="F22 F27:F33" name="Диапазон2_1_1_1_4"/>
    <protectedRange sqref="F48 F44 F52:F61" name="Диапазон5_1_1_1_5"/>
    <protectedRange algorithmName="SHA-512" hashValue="h1LuOOQ9IZ+1ByxmpTIXrI1vO309hUQSjKA9NZF9cA4woJBg35/lr2zdHThGRvvxKX4fn/EJLe+8moKHoCwoMA==" saltValue="pzLgeDMVWL5IWQgRQ2/T/Q==" spinCount="100000" sqref="F48 F44 F52:F61" name="Диапазон2_1_1_1_5"/>
    <protectedRange sqref="F74:F85" name="Диапазон5_1_1_1_6"/>
    <protectedRange algorithmName="SHA-512" hashValue="h1LuOOQ9IZ+1ByxmpTIXrI1vO309hUQSjKA9NZF9cA4woJBg35/lr2zdHThGRvvxKX4fn/EJLe+8moKHoCwoMA==" saltValue="pzLgeDMVWL5IWQgRQ2/T/Q==" spinCount="100000" sqref="F74:F85" name="Диапазон2_1_1_1_6"/>
    <protectedRange sqref="F98:F120" name="Диапазон5_1_1_1_7"/>
    <protectedRange algorithmName="SHA-512" hashValue="h1LuOOQ9IZ+1ByxmpTIXrI1vO309hUQSjKA9NZF9cA4woJBg35/lr2zdHThGRvvxKX4fn/EJLe+8moKHoCwoMA==" saltValue="pzLgeDMVWL5IWQgRQ2/T/Q==" spinCount="100000" sqref="F98:F120" name="Диапазон2_1_1_1_7"/>
    <protectedRange sqref="F93" name="Диапазон5_1_1_1_8"/>
    <protectedRange algorithmName="SHA-512" hashValue="h1LuOOQ9IZ+1ByxmpTIXrI1vO309hUQSjKA9NZF9cA4woJBg35/lr2zdHThGRvvxKX4fn/EJLe+8moKHoCwoMA==" saltValue="pzLgeDMVWL5IWQgRQ2/T/Q==" spinCount="100000" sqref="F93" name="Диапазон2_1_1_1_8"/>
    <protectedRange sqref="F125" name="Диапазон5_1_1_1_11"/>
    <protectedRange algorithmName="SHA-512" hashValue="h1LuOOQ9IZ+1ByxmpTIXrI1vO309hUQSjKA9NZF9cA4woJBg35/lr2zdHThGRvvxKX4fn/EJLe+8moKHoCwoMA==" saltValue="pzLgeDMVWL5IWQgRQ2/T/Q==" spinCount="100000" sqref="F125" name="Диапазон2_1_1_1_11"/>
    <protectedRange sqref="F149" name="Диапазон5_1_1_1_12"/>
    <protectedRange algorithmName="SHA-512" hashValue="h1LuOOQ9IZ+1ByxmpTIXrI1vO309hUQSjKA9NZF9cA4woJBg35/lr2zdHThGRvvxKX4fn/EJLe+8moKHoCwoMA==" saltValue="pzLgeDMVWL5IWQgRQ2/T/Q==" spinCount="100000" sqref="F149" name="Диапазон2_1_1_1_12"/>
    <protectedRange sqref="F157" name="Диапазон5_1_1_1_13"/>
    <protectedRange algorithmName="SHA-512" hashValue="h1LuOOQ9IZ+1ByxmpTIXrI1vO309hUQSjKA9NZF9cA4woJBg35/lr2zdHThGRvvxKX4fn/EJLe+8moKHoCwoMA==" saltValue="pzLgeDMVWL5IWQgRQ2/T/Q==" spinCount="100000" sqref="F157" name="Диапазон2_1_1_1_13"/>
    <protectedRange sqref="F158:F162" name="Диапазон5_1_1_1_16"/>
    <protectedRange algorithmName="SHA-512" hashValue="h1LuOOQ9IZ+1ByxmpTIXrI1vO309hUQSjKA9NZF9cA4woJBg35/lr2zdHThGRvvxKX4fn/EJLe+8moKHoCwoMA==" saltValue="pzLgeDMVWL5IWQgRQ2/T/Q==" spinCount="100000" sqref="F158:F162" name="Диапазон2_1_1_1_16"/>
    <protectedRange sqref="F167:F177" name="Диапазон5_1_1_1_17"/>
    <protectedRange algorithmName="SHA-512" hashValue="h1LuOOQ9IZ+1ByxmpTIXrI1vO309hUQSjKA9NZF9cA4woJBg35/lr2zdHThGRvvxKX4fn/EJLe+8moKHoCwoMA==" saltValue="pzLgeDMVWL5IWQgRQ2/T/Q==" spinCount="100000" sqref="F167:F177" name="Диапазон2_1_1_1_17"/>
    <protectedRange sqref="F178:F186" name="Диапазон5_1_1_1_18"/>
    <protectedRange algorithmName="SHA-512" hashValue="h1LuOOQ9IZ+1ByxmpTIXrI1vO309hUQSjKA9NZF9cA4woJBg35/lr2zdHThGRvvxKX4fn/EJLe+8moKHoCwoMA==" saltValue="pzLgeDMVWL5IWQgRQ2/T/Q==" spinCount="100000" sqref="F178:F186" name="Диапазон2_1_1_1_18"/>
    <protectedRange sqref="F17" name="Диапазон5_1"/>
    <protectedRange algorithmName="SHA-512" hashValue="h1LuOOQ9IZ+1ByxmpTIXrI1vO309hUQSjKA9NZF9cA4woJBg35/lr2zdHThGRvvxKX4fn/EJLe+8moKHoCwoMA==" saltValue="pzLgeDMVWL5IWQgRQ2/T/Q==" spinCount="100000" sqref="F17" name="Диапазон2_1"/>
    <protectedRange sqref="F18:F21" name="Диапазон5_1_1"/>
    <protectedRange algorithmName="SHA-512" hashValue="h1LuOOQ9IZ+1ByxmpTIXrI1vO309hUQSjKA9NZF9cA4woJBg35/lr2zdHThGRvvxKX4fn/EJLe+8moKHoCwoMA==" saltValue="pzLgeDMVWL5IWQgRQ2/T/Q==" spinCount="100000" sqref="F18:F21" name="Диапазон2_1_1"/>
    <protectedRange sqref="F34:F39" name="Диапазон5_1_2"/>
    <protectedRange algorithmName="SHA-512" hashValue="h1LuOOQ9IZ+1ByxmpTIXrI1vO309hUQSjKA9NZF9cA4woJBg35/lr2zdHThGRvvxKX4fn/EJLe+8moKHoCwoMA==" saltValue="pzLgeDMVWL5IWQgRQ2/T/Q==" spinCount="100000" sqref="F34:F39" name="Диапазон2_1_2"/>
  </protectedRanges>
  <mergeCells count="1">
    <mergeCell ref="A6:C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Лист36"/>
  <dimension ref="A1:B32"/>
  <sheetViews>
    <sheetView topLeftCell="A28" workbookViewId="0">
      <selection activeCell="B40" sqref="B40"/>
    </sheetView>
  </sheetViews>
  <sheetFormatPr baseColWidth="10" defaultColWidth="9" defaultRowHeight="15"/>
  <cols>
    <col min="1" max="1" width="42.1640625" customWidth="1"/>
    <col min="2" max="2" width="52.1640625" customWidth="1"/>
  </cols>
  <sheetData>
    <row r="1" spans="1:2" ht="17">
      <c r="A1" s="6" t="s">
        <v>210</v>
      </c>
      <c r="B1" s="7" t="s">
        <v>211</v>
      </c>
    </row>
    <row r="2" spans="1:2" ht="51">
      <c r="A2" s="8" t="s">
        <v>216</v>
      </c>
      <c r="B2" s="9" t="s">
        <v>1279</v>
      </c>
    </row>
    <row r="3" spans="1:2" ht="85">
      <c r="A3" s="8" t="s">
        <v>218</v>
      </c>
      <c r="B3" s="9" t="s">
        <v>1280</v>
      </c>
    </row>
    <row r="4" spans="1:2" ht="136">
      <c r="A4" s="10" t="s">
        <v>337</v>
      </c>
      <c r="B4" s="9" t="s">
        <v>1281</v>
      </c>
    </row>
    <row r="5" spans="1:2" ht="17">
      <c r="A5" s="8" t="s">
        <v>222</v>
      </c>
      <c r="B5" s="9" t="s">
        <v>223</v>
      </c>
    </row>
    <row r="6" spans="1:2" ht="51">
      <c r="A6" s="8" t="s">
        <v>224</v>
      </c>
      <c r="B6" s="9" t="s">
        <v>1282</v>
      </c>
    </row>
    <row r="7" spans="1:2" ht="51">
      <c r="A7" s="10" t="s">
        <v>226</v>
      </c>
      <c r="B7" s="9" t="s">
        <v>1283</v>
      </c>
    </row>
    <row r="8" spans="1:2" ht="17">
      <c r="A8" s="10" t="s">
        <v>357</v>
      </c>
      <c r="B8" s="9" t="s">
        <v>229</v>
      </c>
    </row>
    <row r="9" spans="1:2" ht="85">
      <c r="A9" s="8" t="s">
        <v>230</v>
      </c>
      <c r="B9" s="9" t="s">
        <v>1284</v>
      </c>
    </row>
    <row r="10" spans="1:2" ht="17">
      <c r="A10" s="8" t="s">
        <v>232</v>
      </c>
      <c r="B10" s="9" t="s">
        <v>233</v>
      </c>
    </row>
    <row r="11" spans="1:2" ht="51">
      <c r="A11" s="8" t="s">
        <v>236</v>
      </c>
      <c r="B11" s="9" t="s">
        <v>1285</v>
      </c>
    </row>
    <row r="12" spans="1:2" ht="51">
      <c r="A12" s="8" t="s">
        <v>234</v>
      </c>
      <c r="B12" s="9" t="s">
        <v>1286</v>
      </c>
    </row>
    <row r="13" spans="1:2" ht="34">
      <c r="A13" s="8" t="s">
        <v>238</v>
      </c>
      <c r="B13" s="9" t="s">
        <v>1287</v>
      </c>
    </row>
    <row r="14" spans="1:2" ht="85">
      <c r="A14" s="8" t="s">
        <v>240</v>
      </c>
      <c r="B14" s="9" t="s">
        <v>1288</v>
      </c>
    </row>
    <row r="15" spans="1:2" ht="34">
      <c r="A15" s="8" t="s">
        <v>242</v>
      </c>
      <c r="B15" s="9" t="s">
        <v>1289</v>
      </c>
    </row>
    <row r="16" spans="1:2" ht="17">
      <c r="A16" s="8" t="s">
        <v>244</v>
      </c>
      <c r="B16" s="9" t="s">
        <v>245</v>
      </c>
    </row>
    <row r="17" spans="1:2" ht="51">
      <c r="A17" s="8" t="s">
        <v>246</v>
      </c>
      <c r="B17" s="9" t="s">
        <v>1290</v>
      </c>
    </row>
    <row r="18" spans="1:2" ht="51">
      <c r="A18" s="8" t="s">
        <v>248</v>
      </c>
      <c r="B18" s="9" t="s">
        <v>1291</v>
      </c>
    </row>
    <row r="19" spans="1:2" ht="17">
      <c r="A19" s="8" t="s">
        <v>252</v>
      </c>
      <c r="B19" s="9" t="s">
        <v>253</v>
      </c>
    </row>
    <row r="20" spans="1:2" ht="85">
      <c r="A20" s="8" t="s">
        <v>254</v>
      </c>
      <c r="B20" s="9" t="s">
        <v>1292</v>
      </c>
    </row>
    <row r="21" spans="1:2" ht="17">
      <c r="A21" s="8" t="s">
        <v>256</v>
      </c>
      <c r="B21" s="9" t="s">
        <v>257</v>
      </c>
    </row>
    <row r="22" spans="1:2" ht="17">
      <c r="A22" s="8" t="s">
        <v>258</v>
      </c>
      <c r="B22" s="9" t="s">
        <v>259</v>
      </c>
    </row>
    <row r="23" spans="1:2" ht="34">
      <c r="A23" s="8" t="s">
        <v>260</v>
      </c>
      <c r="B23" s="9" t="s">
        <v>1293</v>
      </c>
    </row>
    <row r="24" spans="1:2" ht="34">
      <c r="A24" s="8" t="s">
        <v>264</v>
      </c>
      <c r="B24" s="9" t="s">
        <v>1294</v>
      </c>
    </row>
    <row r="25" spans="1:2" ht="34">
      <c r="A25" s="8" t="s">
        <v>266</v>
      </c>
      <c r="B25" s="9" t="s">
        <v>1295</v>
      </c>
    </row>
    <row r="26" spans="1:2" ht="51">
      <c r="A26" s="8" t="s">
        <v>268</v>
      </c>
      <c r="B26" s="9" t="s">
        <v>1296</v>
      </c>
    </row>
    <row r="27" spans="1:2" ht="68">
      <c r="A27" s="8" t="s">
        <v>270</v>
      </c>
      <c r="B27" s="9" t="s">
        <v>1297</v>
      </c>
    </row>
    <row r="28" spans="1:2" ht="34">
      <c r="A28" s="8" t="s">
        <v>250</v>
      </c>
      <c r="B28" s="9" t="s">
        <v>1298</v>
      </c>
    </row>
    <row r="29" spans="1:2" ht="51">
      <c r="A29" s="8" t="s">
        <v>214</v>
      </c>
      <c r="B29" s="9" t="s">
        <v>1299</v>
      </c>
    </row>
    <row r="30" spans="1:2" ht="17">
      <c r="A30" s="11" t="s">
        <v>213</v>
      </c>
      <c r="B30" s="9" t="s">
        <v>213</v>
      </c>
    </row>
    <row r="31" spans="1:2" ht="34">
      <c r="A31" s="11" t="s">
        <v>212</v>
      </c>
      <c r="B31" s="9" t="s">
        <v>1300</v>
      </c>
    </row>
    <row r="32" spans="1:2" ht="68">
      <c r="A32" s="12" t="s">
        <v>262</v>
      </c>
      <c r="B32" s="13" t="s">
        <v>1301</v>
      </c>
    </row>
  </sheetData>
  <protectedRanges>
    <protectedRange sqref="B32" name="Диапазон3"/>
  </protectedRange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Лист37"/>
  <dimension ref="A1:B1000"/>
  <sheetViews>
    <sheetView workbookViewId="0">
      <selection activeCell="B7" sqref="B7"/>
    </sheetView>
  </sheetViews>
  <sheetFormatPr baseColWidth="10" defaultColWidth="14.1640625" defaultRowHeight="15" customHeight="1"/>
  <cols>
    <col min="1" max="1" width="53.83203125" customWidth="1"/>
    <col min="2" max="2" width="39.1640625" customWidth="1"/>
    <col min="3" max="3" width="27.5" customWidth="1"/>
    <col min="4" max="26" width="11.5" customWidth="1"/>
  </cols>
  <sheetData>
    <row r="1" spans="1:2" ht="16">
      <c r="A1" t="s">
        <v>1302</v>
      </c>
      <c r="B1" s="1" t="s">
        <v>303</v>
      </c>
    </row>
    <row r="2" spans="1:2" ht="16">
      <c r="A2" s="2" t="s">
        <v>1067</v>
      </c>
      <c r="B2" s="3" t="s">
        <v>341</v>
      </c>
    </row>
    <row r="3" spans="1:2" ht="16">
      <c r="A3" t="s">
        <v>1303</v>
      </c>
      <c r="B3" s="1" t="s">
        <v>338</v>
      </c>
    </row>
    <row r="4" spans="1:2" ht="16">
      <c r="A4" s="2" t="s">
        <v>352</v>
      </c>
      <c r="B4" s="1" t="s">
        <v>296</v>
      </c>
    </row>
    <row r="5" spans="1:2" ht="16">
      <c r="A5" t="s">
        <v>1080</v>
      </c>
      <c r="B5" s="1" t="s">
        <v>342</v>
      </c>
    </row>
    <row r="6" spans="1:2" ht="16">
      <c r="A6" s="2" t="s">
        <v>1304</v>
      </c>
      <c r="B6" s="396" t="s">
        <v>1323</v>
      </c>
    </row>
    <row r="7" spans="1:2">
      <c r="A7" t="s">
        <v>1305</v>
      </c>
    </row>
    <row r="8" spans="1:2">
      <c r="A8" s="4" t="s">
        <v>313</v>
      </c>
    </row>
    <row r="9" spans="1:2">
      <c r="A9" s="4" t="s">
        <v>1306</v>
      </c>
    </row>
    <row r="11" spans="1:2">
      <c r="B11" s="4"/>
    </row>
    <row r="12" spans="1:2">
      <c r="B12" s="4"/>
    </row>
    <row r="13" spans="1:2">
      <c r="A13" t="s">
        <v>328</v>
      </c>
      <c r="B13" s="4"/>
    </row>
    <row r="14" spans="1:2">
      <c r="A14" t="s">
        <v>1215</v>
      </c>
      <c r="B14" s="4"/>
    </row>
    <row r="15" spans="1:2">
      <c r="A15" t="s">
        <v>1307</v>
      </c>
      <c r="B15" s="4"/>
    </row>
    <row r="16" spans="1:2">
      <c r="B16" s="4"/>
    </row>
    <row r="18" spans="1:2">
      <c r="A18" s="5" t="s">
        <v>312</v>
      </c>
    </row>
    <row r="19" spans="1:2">
      <c r="A19" s="5" t="s">
        <v>309</v>
      </c>
      <c r="B19" s="4"/>
    </row>
    <row r="20" spans="1:2">
      <c r="A20" s="5" t="s">
        <v>343</v>
      </c>
    </row>
    <row r="21" spans="1:2" ht="15.75" customHeight="1"/>
    <row r="22" spans="1:2" ht="15.75" customHeight="1"/>
    <row r="23" spans="1:2" ht="15.75" customHeight="1"/>
    <row r="24" spans="1:2" ht="15.75" customHeight="1"/>
    <row r="25" spans="1:2" ht="15.75" customHeight="1"/>
    <row r="26" spans="1:2" ht="15.75" customHeight="1"/>
    <row r="27" spans="1:2" ht="15.75" customHeight="1"/>
    <row r="28" spans="1:2" ht="15.75" customHeight="1"/>
    <row r="29" spans="1:2" ht="15.75" customHeight="1"/>
    <row r="30" spans="1:2" ht="15.75" customHeight="1"/>
    <row r="31" spans="1:2" ht="15.75" customHeight="1"/>
    <row r="32" spans="1: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0000004768371604" right="0.70000004768371604" top="0.75" bottom="0.75" header="0" footer="0"/>
  <pageSetup fitToWidth="0" fitToHeight="0"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3" master="" otherUserPermission="visible"/>
  <rangeList sheetStid="12" master="" otherUserPermission="visible"/>
  <rangeList sheetStid="16" master="" otherUserPermission="visible">
    <arrUserId title="Диапазон3" rangeCreator="" othersAccessPermission="edit"/>
  </rangeList>
  <rangeList sheetStid="36" master="" otherUserPermission="visible">
    <arrUserId title="Диапазон3_1_1" rangeCreator="" othersAccessPermission="edit"/>
    <arrUserId title="Диапазон4_2_1_1" rangeCreator="" othersAccessPermission="edit"/>
    <arrUserId title="Диапазон3_2_1_1" rangeCreator="" othersAccessPermission="edit"/>
  </rangeList>
  <rangeList sheetStid="101" master="" otherUserPermission="visible"/>
  <rangeList sheetStid="98" master="" otherUserPermission="visible">
    <arrUserId title="Диапазон4_1" rangeCreator="" othersAccessPermission="edit"/>
    <arrUserId title="Диапазон3_1" rangeCreator="" othersAccessPermission="edit"/>
  </rangeList>
  <rangeList sheetStid="68" master="" otherUserPermission="visible"/>
  <rangeList sheetStid="80" master="" otherUserPermission="visible">
    <arrUserId title="Диапазон4_1" rangeCreator="" othersAccessPermission="edit"/>
    <arrUserId title="Диапазон3_1" rangeCreator="" othersAccessPermission="edit"/>
    <arrUserId title="Диапазон5_8_1" rangeCreator="" othersAccessPermission="edit"/>
    <arrUserId title="Диапазон2_8_1" rangeCreator="" othersAccessPermission="edit"/>
    <arrUserId title="Диапазон5_12_1_1" rangeCreator="" othersAccessPermission="edit"/>
    <arrUserId title="Диапазон2_12_1_1" rangeCreator="" othersAccessPermission="edit"/>
    <arrUserId title="Диапазон5_12_2_1" rangeCreator="" othersAccessPermission="edit"/>
    <arrUserId title="Диапазон2_12_2_1" rangeCreator="" othersAccessPermission="edit"/>
    <arrUserId title="Диапазон5_9_3_1" rangeCreator="" othersAccessPermission="edit"/>
    <arrUserId title="Диапазон2_9_3_1" rangeCreator="" othersAccessPermission="edit"/>
    <arrUserId title="Диапазон5_9_4_1" rangeCreator="" othersAccessPermission="edit"/>
    <arrUserId title="Диапазон2_9_4_1" rangeCreator="" othersAccessPermission="edit"/>
    <arrUserId title="Диапазон5_1_2_3" rangeCreator="" othersAccessPermission="edit"/>
    <arrUserId title="Диапазон2_1_3_3" rangeCreator="" othersAccessPermission="edit"/>
    <arrUserId title="Диапазон5_1_1_2_2" rangeCreator="" othersAccessPermission="edit"/>
    <arrUserId title="Диапазон2_1_1_2_2" rangeCreator="" othersAccessPermission="edit"/>
    <arrUserId title="Диапазон5_8_2_1" rangeCreator="" othersAccessPermission="edit"/>
    <arrUserId title="Диапазон2_8_2_1" rangeCreator="" othersAccessPermission="edit"/>
    <arrUserId title="Диапазон5_8_3_1" rangeCreator="" othersAccessPermission="edit"/>
    <arrUserId title="Диапазон2_8_3_1" rangeCreator="" othersAccessPermission="edit"/>
    <arrUserId title="Диапазон5_8_4_1" rangeCreator="" othersAccessPermission="edit"/>
    <arrUserId title="Диапазон2_8_4_1" rangeCreator="" othersAccessPermission="edit"/>
    <arrUserId title="Диапазон5_8_5_1" rangeCreator="" othersAccessPermission="edit"/>
    <arrUserId title="Диапазон2_8_5_1" rangeCreator="" othersAccessPermission="edit"/>
    <arrUserId title="Диапазон5_8_6_1" rangeCreator="" othersAccessPermission="edit"/>
    <arrUserId title="Диапазон2_8_6_1" rangeCreator="" othersAccessPermission="edit"/>
    <arrUserId title="Диапазон5_9_1_1" rangeCreator="" othersAccessPermission="edit"/>
    <arrUserId title="Диапазон2_9_1_1" rangeCreator="" othersAccessPermission="edit"/>
    <arrUserId title="Диапазон5_11_4_1" rangeCreator="" othersAccessPermission="edit"/>
    <arrUserId title="Диапазон2_11_4_1" rangeCreator="" othersAccessPermission="edit"/>
    <arrUserId title="Диапазон5_1_14_1" rangeCreator="" othersAccessPermission="edit"/>
    <arrUserId title="Диапазон2_1_15_1" rangeCreator="" othersAccessPermission="edit"/>
    <arrUserId title="Диапазон5_8_7_1" rangeCreator="" othersAccessPermission="edit"/>
    <arrUserId title="Диапазон2_8_7_1" rangeCreator="" othersAccessPermission="edit"/>
    <arrUserId title="Диапазон5_1_15_1" rangeCreator="" othersAccessPermission="edit"/>
    <arrUserId title="Диапазон2_1_16_1" rangeCreator="" othersAccessPermission="edit"/>
    <arrUserId title="Диапазон5_8_8_1" rangeCreator="" othersAccessPermission="edit"/>
    <arrUserId title="Диапазон2_8_8_1" rangeCreator="" othersAccessPermission="edit"/>
    <arrUserId title="Диапазон5_1_16_1" rangeCreator="" othersAccessPermission="edit"/>
    <arrUserId title="Диапазон2_1_17_1" rangeCreator="" othersAccessPermission="edit"/>
    <arrUserId title="Диапазон5_8_9_1" rangeCreator="" othersAccessPermission="edit"/>
    <arrUserId title="Диапазон2_8_9_1" rangeCreator="" othersAccessPermission="edit"/>
    <arrUserId title="Диапазон5_1_17_1" rangeCreator="" othersAccessPermission="edit"/>
    <arrUserId title="Диапазон2_1_18_1" rangeCreator="" othersAccessPermission="edit"/>
    <arrUserId title="Диапазон5_8_10_1" rangeCreator="" othersAccessPermission="edit"/>
    <arrUserId title="Диапазон2_8_10_1" rangeCreator="" othersAccessPermission="edit"/>
    <arrUserId title="Диапазон5_11_3_2" rangeCreator="" othersAccessPermission="edit"/>
    <arrUserId title="Диапазон2_11_3_2" rangeCreator="" othersAccessPermission="edit"/>
    <arrUserId title="Диапазон5_1_7_1" rangeCreator="" othersAccessPermission="edit"/>
    <arrUserId title="Диапазон2_1_8_1" rangeCreator="" othersAccessPermission="edit"/>
    <arrUserId title="Диапазон5_1_2_2_1" rangeCreator="" othersAccessPermission="edit"/>
    <arrUserId title="Диапазон2_1_3_2_1" rangeCreator="" othersAccessPermission="edit"/>
    <arrUserId title="Диапазон5_1_1_2_1_1" rangeCreator="" othersAccessPermission="edit"/>
    <arrUserId title="Диапазон2_1_1_2_1_1" rangeCreator="" othersAccessPermission="edit"/>
    <arrUserId title="Диапазон5_1_18_1" rangeCreator="" othersAccessPermission="edit"/>
    <arrUserId title="Диапазон2_1_19_1" rangeCreator="" othersAccessPermission="edit"/>
    <arrUserId title="Диапазон5_8_11_1" rangeCreator="" othersAccessPermission="edit"/>
    <arrUserId title="Диапазон2_8_11_1" rangeCreator="" othersAccessPermission="edit"/>
    <arrUserId title="Диапазон5_1_19_1" rangeCreator="" othersAccessPermission="edit"/>
    <arrUserId title="Диапазон2_1_20_1" rangeCreator="" othersAccessPermission="edit"/>
    <arrUserId title="Диапазон5_8_12_1" rangeCreator="" othersAccessPermission="edit"/>
    <arrUserId title="Диапазон2_8_12_1" rangeCreator="" othersAccessPermission="edit"/>
    <arrUserId title="Диапазон5_11_6_1" rangeCreator="" othersAccessPermission="edit"/>
    <arrUserId title="Диапазон2_11_6_1" rangeCreator="" othersAccessPermission="edit"/>
    <arrUserId title="Диапазон5_11_7_1" rangeCreator="" othersAccessPermission="edit"/>
    <arrUserId title="Диапазон2_11_7_1" rangeCreator="" othersAccessPermission="edit"/>
    <arrUserId title="Диапазон5_11_8_1" rangeCreator="" othersAccessPermission="edit"/>
    <arrUserId title="Диапазон2_11_8_1" rangeCreator="" othersAccessPermission="edit"/>
    <arrUserId title="Диапазон5_13_1_1" rangeCreator="" othersAccessPermission="edit"/>
    <arrUserId title="Диапазон2_13_1_1" rangeCreator="" othersAccessPermission="edit"/>
    <arrUserId title="Диапазон5_13_1_2" rangeCreator="" othersAccessPermission="edit"/>
    <arrUserId title="Диапазон2_13_1_2" rangeCreator="" othersAccessPermission="edit"/>
    <arrUserId title="Диапазон5" rangeCreator="" othersAccessPermission="edit"/>
    <arrUserId title="Диапазон2" rangeCreator="" othersAccessPermission="edit"/>
    <arrUserId title="Диапазон5_1_4" rangeCreator="" othersAccessPermission="edit"/>
    <arrUserId title="Диапазон2_1_5" rangeCreator="" othersAccessPermission="edit"/>
    <arrUserId title="Диапазон5_2_4" rangeCreator="" othersAccessPermission="edit"/>
    <arrUserId title="Диапазон2_2_4" rangeCreator="" othersAccessPermission="edit"/>
    <arrUserId title="Диапазон5_3_4" rangeCreator="" othersAccessPermission="edit"/>
    <arrUserId title="Диапазон2_3_4" rangeCreator="" othersAccessPermission="edit"/>
    <arrUserId title="Диапазон5_4_3" rangeCreator="" othersAccessPermission="edit"/>
    <arrUserId title="Диапазон2_4_3" rangeCreator="" othersAccessPermission="edit"/>
    <arrUserId title="Диапазон5_1_5" rangeCreator="" othersAccessPermission="edit"/>
    <arrUserId title="Диапазон2_1_6" rangeCreator="" othersAccessPermission="edit"/>
    <arrUserId title="Диапазон5_5_2" rangeCreator="" othersAccessPermission="edit"/>
    <arrUserId title="Диапазон2_5_2" rangeCreator="" othersAccessPermission="edit"/>
    <arrUserId title="Диапазон5_1_6_1" rangeCreator="" othersAccessPermission="edit"/>
    <arrUserId title="Диапазон2_1_7_1" rangeCreator="" othersAccessPermission="edit"/>
    <arrUserId title="Диапазон5_5_1_1_1" rangeCreator="" othersAccessPermission="edit"/>
    <arrUserId title="Диапазон2_5_1_1_1" rangeCreator="" othersAccessPermission="edit"/>
    <arrUserId title="Диапазон5_6_1_1" rangeCreator="" othersAccessPermission="edit"/>
    <arrUserId title="Диапазон2_6_1_1" rangeCreator="" othersAccessPermission="edit"/>
    <arrUserId title="Диапазон5_7_1_1" rangeCreator="" othersAccessPermission="edit"/>
    <arrUserId title="Диапазон2_7_1_1" rangeCreator="" othersAccessPermission="edit"/>
    <arrUserId title="Диапазон5_1_2_1_1" rangeCreator="" othersAccessPermission="edit"/>
    <arrUserId title="Диапазон2_1_3_1_1" rangeCreator="" othersAccessPermission="edit"/>
    <arrUserId title="Диапазон5_2_2_1_1" rangeCreator="" othersAccessPermission="edit"/>
    <arrUserId title="Диапазон2_2_2_1_1" rangeCreator="" othersAccessPermission="edit"/>
    <arrUserId title="Диапазон5_11_1_1" rangeCreator="" othersAccessPermission="edit"/>
    <arrUserId title="Диапазон2_11_1_1" rangeCreator="" othersAccessPermission="edit"/>
    <arrUserId title="Диапазон5_11_2_1" rangeCreator="" othersAccessPermission="edit"/>
    <arrUserId title="Диапазон2_11_2_1" rangeCreator="" othersAccessPermission="edit"/>
    <arrUserId title="Диапазон5_11_3_3" rangeCreator="" othersAccessPermission="edit"/>
    <arrUserId title="Диапазон2_11_3_3" rangeCreator="" othersAccessPermission="edit"/>
    <arrUserId title="Диапазон5_12_3_1" rangeCreator="" othersAccessPermission="edit"/>
    <arrUserId title="Диапазон2_12_3_1" rangeCreator="" othersAccessPermission="edit"/>
    <arrUserId title="Диапазон5_12_2_3" rangeCreator="" othersAccessPermission="edit"/>
    <arrUserId title="Диапазон2_12_2_3" rangeCreator="" othersAccessPermission="edit"/>
    <arrUserId title="Диапазон5_13_1_5" rangeCreator="" othersAccessPermission="edit"/>
    <arrUserId title="Диапазон2_13_1_5" rangeCreator="" othersAccessPermission="edit"/>
    <arrUserId title="Диапазон5_13_2_3" rangeCreator="" othersAccessPermission="edit"/>
    <arrUserId title="Диапазон2_13_2_3" rangeCreator="" othersAccessPermission="edit"/>
    <arrUserId title="Диапазон5_2_2" rangeCreator="" othersAccessPermission="edit"/>
    <arrUserId title="Диапазон2_2_2" rangeCreator="" othersAccessPermission="edit"/>
    <arrUserId title="Диапазон5_1_18" rangeCreator="" othersAccessPermission="edit"/>
    <arrUserId title="Диапазон2_1_19" rangeCreator="" othersAccessPermission="edit"/>
    <arrUserId title="Диапазон5_8_11" rangeCreator="" othersAccessPermission="edit"/>
    <arrUserId title="Диапазон2_8_11" rangeCreator="" othersAccessPermission="edit"/>
    <arrUserId title="Диапазон5_1_20_1" rangeCreator="" othersAccessPermission="edit"/>
    <arrUserId title="Диапазон2_1_21_1" rangeCreator="" othersAccessPermission="edit"/>
    <arrUserId title="Диапазон5_5_1_2_1" rangeCreator="" othersAccessPermission="edit"/>
    <arrUserId title="Диапазон2_5_1_2_1" rangeCreator="" othersAccessPermission="edit"/>
    <arrUserId title="Диапазон5_6_3_1" rangeCreator="" othersAccessPermission="edit"/>
    <arrUserId title="Диапазон2_6_3_1" rangeCreator="" othersAccessPermission="edit"/>
    <arrUserId title="Диапазон5_9_5_1" rangeCreator="" othersAccessPermission="edit"/>
    <arrUserId title="Диапазон2_9_5_1" rangeCreator="" othersAccessPermission="edit"/>
    <arrUserId title="Диапазон5_11_9_1" rangeCreator="" othersAccessPermission="edit"/>
    <arrUserId title="Диапазон2_11_9_1" rangeCreator="" othersAccessPermission="edit"/>
    <arrUserId title="Диапазон5_1_22_1" rangeCreator="" othersAccessPermission="edit"/>
    <arrUserId title="Диапазон2_1_23_1" rangeCreator="" othersAccessPermission="edit"/>
    <arrUserId title="Диапазон5_2_7_1" rangeCreator="" othersAccessPermission="edit"/>
    <arrUserId title="Диапазон2_2_7_1" rangeCreator="" othersAccessPermission="edit"/>
    <arrUserId title="Диапазон5_3_6_1" rangeCreator="" othersAccessPermission="edit"/>
    <arrUserId title="Диапазон2_3_6_1" rangeCreator="" othersAccessPermission="edit"/>
    <arrUserId title="Диапазон5_8_1_1" rangeCreator="" othersAccessPermission="edit"/>
    <arrUserId title="Диапазон2_8_1_1" rangeCreator="" othersAccessPermission="edit"/>
    <arrUserId title="Диапазон5_12_2_1_1" rangeCreator="" othersAccessPermission="edit"/>
    <arrUserId title="Диапазон2_12_2_1_1" rangeCreator="" othersAccessPermission="edit"/>
    <arrUserId title="Диапазон5_12_1_1_1" rangeCreator="" othersAccessPermission="edit"/>
    <arrUserId title="Диапазон2_12_1_1_1" rangeCreator="" othersAccessPermission="edit"/>
    <arrUserId title="Диапазон5_12_2_1_2" rangeCreator="" othersAccessPermission="edit"/>
    <arrUserId title="Диапазон2_12_2_1_2" rangeCreator="" othersAccessPermission="edit"/>
    <arrUserId title="Диапазон5_13_1_2_1_1" rangeCreator="" othersAccessPermission="edit"/>
    <arrUserId title="Диапазон2_13_1_2_1_1" rangeCreator="" othersAccessPermission="edit"/>
    <arrUserId title="Диапазон5_12_1_1_6" rangeCreator="" othersAccessPermission="edit"/>
    <arrUserId title="Диапазон2_12_1_1_6" rangeCreator="" othersAccessPermission="edit"/>
    <arrUserId title="Диапазон5_12_1_1_7" rangeCreator="" othersAccessPermission="edit"/>
    <arrUserId title="Диапазон2_12_1_1_7" rangeCreator="" othersAccessPermission="edit"/>
    <arrUserId title="Диапазон5_13_1_2_4" rangeCreator="" othersAccessPermission="edit"/>
    <arrUserId title="Диапазон2_13_1_2_4" rangeCreator="" othersAccessPermission="edit"/>
    <arrUserId title="Диапазон5_12_2_1_3" rangeCreator="" othersAccessPermission="edit"/>
    <arrUserId title="Диапазон2_12_2_1_3" rangeCreator="" othersAccessPermission="edit"/>
    <arrUserId title="Диапазон5_12_2_1_4" rangeCreator="" othersAccessPermission="edit"/>
    <arrUserId title="Диапазон2_12_2_1_4" rangeCreator="" othersAccessPermission="edit"/>
    <arrUserId title="Диапазон2_12_2_1_3_4" rangeCreator="" othersAccessPermission="edit"/>
    <arrUserId title="Диапазон2_9_5_1_5" rangeCreator="" othersAccessPermission="edit"/>
    <arrUserId title="Диапазон5_12_2_1_4_3" rangeCreator="" othersAccessPermission="edit"/>
    <arrUserId title="Диапазон2_12_2_1_4_4" rangeCreator="" othersAccessPermission="edit"/>
    <arrUserId title="Диапазон5_12_2_1_4_7" rangeCreator="" othersAccessPermission="edit"/>
    <arrUserId title="Диапазон2_12_2_1_4_8" rangeCreator="" othersAccessPermission="edit"/>
    <arrUserId title="Диапазон5_12_2_1_4_10" rangeCreator="" othersAccessPermission="edit"/>
    <arrUserId title="Диапазон2_12_2_1_4_11" rangeCreator="" othersAccessPermission="edit"/>
    <arrUserId title="Диапазон5_12_2_1_4_11" rangeCreator="" othersAccessPermission="edit"/>
    <arrUserId title="Диапазон2_12_2_1_4_12" rangeCreator="" othersAccessPermission="edit"/>
    <arrUserId title="Диапазон5_13_1_2_5" rangeCreator="" othersAccessPermission="edit"/>
    <arrUserId title="Диапазон2_13_1_2_5" rangeCreator="" othersAccessPermission="edit"/>
    <arrUserId title="Диапазон5_13_1_2_6" rangeCreator="" othersAccessPermission="edit"/>
    <arrUserId title="Диапазон2_13_1_2_6" rangeCreator="" othersAccessPermission="edit"/>
    <arrUserId title="Диапазон2_12_2_1_5" rangeCreator="" othersAccessPermission="edit"/>
    <arrUserId title="Диапазон5_12_2_1_5" rangeCreator="" othersAccessPermission="edit"/>
    <arrUserId title="Диапазон2_12_2_1_6" rangeCreator="" othersAccessPermission="edit"/>
    <arrUserId title="Диапазон5_12_2_1_9" rangeCreator="" othersAccessPermission="edit"/>
    <arrUserId title="Диапазон2_12_2_1_10" rangeCreator="" othersAccessPermission="edit"/>
    <arrUserId title="Диапазон5_9_3_1_1" rangeCreator="" othersAccessPermission="edit"/>
    <arrUserId title="Диапазон2_9_3_1_1" rangeCreator="" othersAccessPermission="edit"/>
    <arrUserId title="Диапазон5_8_10_1_4" rangeCreator="" othersAccessPermission="edit"/>
    <arrUserId title="Диапазон2_8_10_1_4" rangeCreator="" othersAccessPermission="edit"/>
    <arrUserId title="Диапазон5_8_11_8" rangeCreator="" othersAccessPermission="edit"/>
    <arrUserId title="Диапазон2_8_11_8" rangeCreator="" othersAccessPermission="edit"/>
    <arrUserId title="Диапазон5_8_11_9" rangeCreator="" othersAccessPermission="edit"/>
    <arrUserId title="Диапазон2_8_11_9" rangeCreator="" othersAccessPermission="edit"/>
    <arrUserId title="Диапазон2_9_5_1_7" rangeCreator="" othersAccessPermission="edit"/>
    <arrUserId title="Диапазон5_9_5_1_1" rangeCreator="" othersAccessPermission="edit"/>
    <arrUserId title="Диапазон2_9_5_1_1" rangeCreator="" othersAccessPermission="edit"/>
    <arrUserId title="Диапазон2_9_5_1_5_1" rangeCreator="" othersAccessPermission="edit"/>
    <arrUserId title="Диапазон5_9_5_1_6" rangeCreator="" othersAccessPermission="edit"/>
    <arrUserId title="Диапазон2_9_5_1_10" rangeCreator="" othersAccessPermission="edit"/>
    <arrUserId title="Диапазон2_9_5_1_5_5" rangeCreator="" othersAccessPermission="edit"/>
    <arrUserId title="Диапазон5_8_10_1_5" rangeCreator="" othersAccessPermission="edit"/>
    <arrUserId title="Диапазон2_8_10_1_5" rangeCreator="" othersAccessPermission="edit"/>
    <arrUserId title="Диапазон5_11_1_1_1" rangeCreator="" othersAccessPermission="edit"/>
    <arrUserId title="Диапазон2_11_1_1_1" rangeCreator="" othersAccessPermission="edit"/>
    <arrUserId title="Диапазон5_9_5_1_2" rangeCreator="" othersAccessPermission="edit"/>
    <arrUserId title="Диапазон2_9_5_1_2" rangeCreator="" othersAccessPermission="edit"/>
    <arrUserId title="Диапазон5_11_3_2_1" rangeCreator="" othersAccessPermission="edit"/>
    <arrUserId title="Диапазон2_11_3_2_1" rangeCreator="" othersAccessPermission="edit"/>
    <arrUserId title="Диапазон5_8_1_5" rangeCreator="" othersAccessPermission="edit"/>
    <arrUserId title="Диапазон2_8_1_5" rangeCreator="" othersAccessPermission="edit"/>
    <arrUserId title="Диапазон5_12_2_1_16" rangeCreator="" othersAccessPermission="edit"/>
    <arrUserId title="Диапазон2_12_2_1_17" rangeCreator="" othersAccessPermission="edit"/>
    <arrUserId title="Диапазон5_12_3_1_6" rangeCreator="" othersAccessPermission="edit"/>
    <arrUserId title="Диапазон2_12_3_1_6" rangeCreator="" othersAccessPermission="edit"/>
    <arrUserId title="Диапазон5_12_3_1_3_2" rangeCreator="" othersAccessPermission="edit"/>
    <arrUserId title="Диапазон2_12_3_1_3_2" rangeCreator="" othersAccessPermission="edit"/>
    <arrUserId title="Диапазон5_12_2_1_13_2" rangeCreator="" othersAccessPermission="edit"/>
    <arrUserId title="Диапазон2_12_2_1_14_2" rangeCreator="" othersAccessPermission="edit"/>
    <arrUserId title="Диапазон5_8_1_7" rangeCreator="" othersAccessPermission="edit"/>
    <arrUserId title="Диапазон2_8_1_7" rangeCreator="" othersAccessPermission="edit"/>
    <arrUserId title="Диапазон5_12_1_1_18" rangeCreator="" othersAccessPermission="edit"/>
    <arrUserId title="Диапазон2_12_1_1_22" rangeCreator="" othersAccessPermission="edit"/>
    <arrUserId title="Диапазон5_12_2_1_18" rangeCreator="" othersAccessPermission="edit"/>
    <arrUserId title="Диапазон2_12_2_1_19" rangeCreator="" othersAccessPermission="edit"/>
    <arrUserId title="Диапазон5_12_2_1_10_2" rangeCreator="" othersAccessPermission="edit"/>
    <arrUserId title="Диапазон2_12_2_1_11_2" rangeCreator="" othersAccessPermission="edit"/>
    <arrUserId title="Диапазон5_12_1_1_10_1" rangeCreator="" othersAccessPermission="edit"/>
    <arrUserId title="Диапазон2_12_1_1_10_1" rangeCreator="" othersAccessPermission="edit"/>
    <arrUserId title="Диапазон5_12_2_1_8_1" rangeCreator="" othersAccessPermission="edit"/>
    <arrUserId title="Диапазон2_12_2_1_9_1" rangeCreator="" othersAccessPermission="edit"/>
    <arrUserId title="Диапазон5_12_1_1_19" rangeCreator="" othersAccessPermission="edit"/>
    <arrUserId title="Диапазон2_12_1_1_23" rangeCreator="" othersAccessPermission="edit"/>
    <arrUserId title="Диапазон5_12_2_1_19" rangeCreator="" othersAccessPermission="edit"/>
    <arrUserId title="Диапазон2_12_2_1_20" rangeCreator="" othersAccessPermission="edit"/>
    <arrUserId title="Диапазон5_12_2_1_21" rangeCreator="" othersAccessPermission="edit"/>
    <arrUserId title="Диапазон2_12_2_1_22" rangeCreator="" othersAccessPermission="edit"/>
    <arrUserId title="Диапазон5_11_2_1_1" rangeCreator="" othersAccessPermission="edit"/>
    <arrUserId title="Диапазон2_11_2_1_1" rangeCreator="" othersAccessPermission="edit"/>
    <arrUserId title="Диапазон5_11_2_1_6" rangeCreator="" othersAccessPermission="edit"/>
    <arrUserId title="Диапазон2_11_2_1_6" rangeCreator="" othersAccessPermission="edit"/>
    <arrUserId title="Диапазон5_11_2_1_6_8" rangeCreator="" othersAccessPermission="edit"/>
    <arrUserId title="Диапазон2_11_2_1_6_9" rangeCreator="" othersAccessPermission="edit"/>
    <arrUserId title="Диапазон5_11_2_1_1_1_1" rangeCreator="" othersAccessPermission="edit"/>
    <arrUserId title="Диапазон2_11_2_1_1_1_1" rangeCreator="" othersAccessPermission="edit"/>
    <arrUserId title="Диапазон5_11_2_1_6_8_3" rangeCreator="" othersAccessPermission="edit"/>
    <arrUserId title="Диапазон2_11_2_1_6_9_3" rangeCreator="" othersAccessPermission="edit"/>
    <arrUserId title="Диапазон5_11_2_1_1_1_1_1" rangeCreator="" othersAccessPermission="edit"/>
    <arrUserId title="Диапазон2_11_2_1_1_1_1_1" rangeCreator="" othersAccessPermission="edit"/>
    <arrUserId title="Диапазон5_11_2_1_4" rangeCreator="" othersAccessPermission="edit"/>
    <arrUserId title="Диапазон2_11_2_1_4" rangeCreator="" othersAccessPermission="edit"/>
    <arrUserId title="Диапазон5_11_2_1_6_4" rangeCreator="" othersAccessPermission="edit"/>
    <arrUserId title="Диапазон2_11_2_1_6_5" rangeCreator="" othersAccessPermission="edit"/>
    <arrUserId title="Диапазон5_11_2_1_6_8_1" rangeCreator="" othersAccessPermission="edit"/>
    <arrUserId title="Диапазон2_11_2_1_6_9_1" rangeCreator="" othersAccessPermission="edit"/>
    <arrUserId title="Диапазон5_11_2_1_6_8_3_1" rangeCreator="" othersAccessPermission="edit"/>
    <arrUserId title="Диапазон2_11_2_1_6_9_3_1" rangeCreator="" othersAccessPermission="edit"/>
    <arrUserId title="Диапазон5_11_2_1_5" rangeCreator="" othersAccessPermission="edit"/>
    <arrUserId title="Диапазон2_11_2_1_5" rangeCreator="" othersAccessPermission="edit"/>
    <arrUserId title="Диапазон5_11_2_1_6_5" rangeCreator="" othersAccessPermission="edit"/>
    <arrUserId title="Диапазон2_11_2_1_6_6" rangeCreator="" othersAccessPermission="edit"/>
    <arrUserId title="Диапазон5_11_2_1_6_8_4" rangeCreator="" othersAccessPermission="edit"/>
    <arrUserId title="Диапазон2_11_2_1_6_9_4" rangeCreator="" othersAccessPermission="edit"/>
    <arrUserId title="Диапазон5_11_2_1_6_8_3_2" rangeCreator="" othersAccessPermission="edit"/>
    <arrUserId title="Диапазон2_11_2_1_6_9_3_2" rangeCreator="" othersAccessPermission="edit"/>
    <arrUserId title="Диапазон5_11_2_1_7" rangeCreator="" othersAccessPermission="edit"/>
    <arrUserId title="Диапазон2_11_2_1_7" rangeCreator="" othersAccessPermission="edit"/>
    <arrUserId title="Диапазон5_11_2_1_6_4_1" rangeCreator="" othersAccessPermission="edit"/>
    <arrUserId title="Диапазон2_11_2_1_6_5_1" rangeCreator="" othersAccessPermission="edit"/>
    <arrUserId title="Диапазон5_11_2_1_6_4_1_1" rangeCreator="" othersAccessPermission="edit"/>
    <arrUserId title="Диапазон2_11_2_1_6_5_1_1" rangeCreator="" othersAccessPermission="edit"/>
    <arrUserId title="Диапазон5_11_2_1_6_4_1_1_1" rangeCreator="" othersAccessPermission="edit"/>
    <arrUserId title="Диапазон2_11_2_1_6_5_1_1_1" rangeCreator="" othersAccessPermission="edit"/>
    <arrUserId title="Диапазон5_11_2_1_8" rangeCreator="" othersAccessPermission="edit"/>
    <arrUserId title="Диапазон2_11_2_1_8" rangeCreator="" othersAccessPermission="edit"/>
    <arrUserId title="Диапазон5_11_2_1_6_10" rangeCreator="" othersAccessPermission="edit"/>
    <arrUserId title="Диапазон2_11_2_1_6_11" rangeCreator="" othersAccessPermission="edit"/>
    <arrUserId title="Диапазон5_11_2_1_6_8_5" rangeCreator="" othersAccessPermission="edit"/>
    <arrUserId title="Диапазон2_11_2_1_6_9_5" rangeCreator="" othersAccessPermission="edit"/>
    <arrUserId title="Диапазон5_11_2_1_6_8_3_3" rangeCreator="" othersAccessPermission="edit"/>
    <arrUserId title="Диапазон2_11_2_1_6_9_3_3" rangeCreator="" othersAccessPermission="edit"/>
    <arrUserId title="Диапазон5_1_14_1_1" rangeCreator="" othersAccessPermission="edit"/>
    <arrUserId title="Диапазон2_1_15_1_1" rangeCreator="" othersAccessPermission="edit"/>
    <arrUserId title="Диапазон5_11_4_1_3" rangeCreator="" othersAccessPermission="edit"/>
    <arrUserId title="Диапазон2_11_4_1_3" rangeCreator="" othersAccessPermission="edit"/>
    <arrUserId title="Диапазон5_11_4_1_7" rangeCreator="" othersAccessPermission="edit"/>
    <arrUserId title="Диапазон2_11_4_1_7" rangeCreator="" othersAccessPermission="edit"/>
    <arrUserId title="Диапазон5_11_4_1_8" rangeCreator="" othersAccessPermission="edit"/>
    <arrUserId title="Диапазон2_11_4_1_8" rangeCreator="" othersAccessPermission="edit"/>
  </rangeList>
  <rangeList sheetStid="76" master="" otherUserPermission="visible">
    <arrUserId title="Диапазон5_1" rangeCreator="" othersAccessPermission="edit"/>
    <arrUserId title="Диапазон2_1" rangeCreator="" othersAccessPermission="edit"/>
    <arrUserId title="Диапазон5_1_5" rangeCreator="" othersAccessPermission="edit"/>
    <arrUserId title="Диапазон2_1_5" rangeCreator="" othersAccessPermission="edit"/>
    <arrUserId title="Диапазон5_1_1_2" rangeCreator="" othersAccessPermission="edit"/>
    <arrUserId title="Диапазон2_1_1_2" rangeCreator="" othersAccessPermission="edit"/>
    <arrUserId title="Диапазон5_1_2_2" rangeCreator="" othersAccessPermission="edit"/>
    <arrUserId title="Диапазон2_1_2_2" rangeCreator="" othersAccessPermission="edit"/>
    <arrUserId title="Диапазон5_1_5_1" rangeCreator="" othersAccessPermission="edit"/>
    <arrUserId title="Диапазон2_1_5_1" rangeCreator="" othersAccessPermission="edit"/>
    <arrUserId title="Диапазон5_1_1_2_1" rangeCreator="" othersAccessPermission="edit"/>
    <arrUserId title="Диапазон2_1_1_2_1" rangeCreator="" othersAccessPermission="edit"/>
    <arrUserId title="Диапазон5_1_2_2_1" rangeCreator="" othersAccessPermission="edit"/>
    <arrUserId title="Диапазон2_1_2_2_1" rangeCreator="" othersAccessPermission="edit"/>
    <arrUserId title="Диапазон5_1_3_2" rangeCreator="" othersAccessPermission="edit"/>
    <arrUserId title="Диапазон2_1_3_2" rangeCreator="" othersAccessPermission="edit"/>
    <arrUserId title="Диапазон5_1_5_2" rangeCreator="" othersAccessPermission="edit"/>
    <arrUserId title="Диапазон2_1_5_2" rangeCreator="" othersAccessPermission="edit"/>
    <arrUserId title="Диапазон5_1_5_3" rangeCreator="" othersAccessPermission="edit"/>
    <arrUserId title="Диапазон2_1_5_3" rangeCreator="" othersAccessPermission="edit"/>
    <arrUserId title="Диапазон5_1_5_4" rangeCreator="" othersAccessPermission="edit"/>
    <arrUserId title="Диапазон2_1_5_4" rangeCreator="" othersAccessPermission="edit"/>
    <arrUserId title="Диапазон5_1_5_5" rangeCreator="" othersAccessPermission="edit"/>
    <arrUserId title="Диапазон2_1_5_5" rangeCreator="" othersAccessPermission="edit"/>
    <arrUserId title="Диапазон5_1_3_2_1" rangeCreator="" othersAccessPermission="edit"/>
    <arrUserId title="Диапазон2_1_3_2_1" rangeCreator="" othersAccessPermission="edit"/>
    <arrUserId title="Диапазон5_2" rangeCreator="" othersAccessPermission="edit"/>
    <arrUserId title="Диапазон2_2" rangeCreator="" othersAccessPermission="edit"/>
    <arrUserId title="Диапазон5_1_5_6" rangeCreator="" othersAccessPermission="edit"/>
    <arrUserId title="Диапазон2_1_5_6" rangeCreator="" othersAccessPermission="edit"/>
    <arrUserId title="Диапазон5_1_5_7" rangeCreator="" othersAccessPermission="edit"/>
    <arrUserId title="Диапазон2_1_5_7" rangeCreator="" othersAccessPermission="edit"/>
    <arrUserId title="Диапазон5_1_1_2_2" rangeCreator="" othersAccessPermission="edit"/>
    <arrUserId title="Диапазон2_1_1_2_2" rangeCreator="" othersAccessPermission="edit"/>
    <arrUserId title="Диапазон5_1_5_8" rangeCreator="" othersAccessPermission="edit"/>
    <arrUserId title="Диапазон2_1_5_8" rangeCreator="" othersAccessPermission="edit"/>
    <arrUserId title="Диапазон5_1_5_9" rangeCreator="" othersAccessPermission="edit"/>
    <arrUserId title="Диапазон2_1_5_9" rangeCreator="" othersAccessPermission="edit"/>
    <arrUserId title="Диапазон5_1_5_10" rangeCreator="" othersAccessPermission="edit"/>
    <arrUserId title="Диапазон2_1_5_10" rangeCreator="" othersAccessPermission="edit"/>
    <arrUserId title="Диапазон5_1_3_2_2" rangeCreator="" othersAccessPermission="edit"/>
    <arrUserId title="Диапазон2_1_3_2_2" rangeCreator="" othersAccessPermission="edit"/>
    <arrUserId title="Диапазон5_1_3" rangeCreator="" othersAccessPermission="edit"/>
    <arrUserId title="Диапазон2_1_3" rangeCreator="" othersAccessPermission="edit"/>
    <arrUserId title="Диапазон5_1_2_1" rangeCreator="" othersAccessPermission="edit"/>
    <arrUserId title="Диапазон2_1_2_1" rangeCreator="" othersAccessPermission="edit"/>
    <arrUserId title="Диапазон5_1_4" rangeCreator="" othersAccessPermission="edit"/>
    <arrUserId title="Диапазон2_1_4" rangeCreator="" othersAccessPermission="edit"/>
    <arrUserId title="Диапазон5_1_2_3" rangeCreator="" othersAccessPermission="edit"/>
    <arrUserId title="Диапазон2_1_2_3" rangeCreator="" othersAccessPermission="edit"/>
    <arrUserId title="Диапазон5_1_6" rangeCreator="" othersAccessPermission="edit"/>
    <arrUserId title="Диапазон2_1_6" rangeCreator="" othersAccessPermission="edit"/>
    <arrUserId title="Диапазон5_1_2_4" rangeCreator="" othersAccessPermission="edit"/>
    <arrUserId title="Диапазон2_1_2_4" rangeCreator="" othersAccessPermission="edit"/>
    <arrUserId title="Диапазон5_1_1" rangeCreator="" othersAccessPermission="edit"/>
    <arrUserId title="Диапазон2_1_1" rangeCreator="" othersAccessPermission="edit"/>
    <arrUserId title="Диапазон5_1_1_1" rangeCreator="" othersAccessPermission="edit"/>
    <arrUserId title="Диапазон2_1_1_1" rangeCreator="" othersAccessPermission="edit"/>
    <arrUserId title="Диапазон5_1_25_1" rangeCreator="" othersAccessPermission="edit"/>
    <arrUserId title="Диапазон2_1_25_1" rangeCreator="" othersAccessPermission="edit"/>
    <arrUserId title="Диапазон5_1_2_1_2" rangeCreator="" othersAccessPermission="edit"/>
    <arrUserId title="Диапазон2_1_2_1_2" rangeCreator="" othersAccessPermission="edit"/>
    <arrUserId title="Диапазон5_1_28_1" rangeCreator="" othersAccessPermission="edit"/>
    <arrUserId title="Диапазон2_1_28_1" rangeCreator="" othersAccessPermission="edit"/>
    <arrUserId title="Диапазон5_1_32_1" rangeCreator="" othersAccessPermission="edit"/>
    <arrUserId title="Диапазон2_1_32_1" rangeCreator="" othersAccessPermission="edit"/>
    <arrUserId title="Диапазон5_1_33_1" rangeCreator="" othersAccessPermission="edit"/>
    <arrUserId title="Диапазон2_1_33_1" rangeCreator="" othersAccessPermission="edit"/>
    <arrUserId title="Диапазон5_1_34_1" rangeCreator="" othersAccessPermission="edit"/>
    <arrUserId title="Диапазон2_1_34_1" rangeCreator="" othersAccessPermission="edit"/>
    <arrUserId title="Диапазон5_1_35_1" rangeCreator="" othersAccessPermission="edit"/>
    <arrUserId title="Диапазон2_1_35_1" rangeCreator="" othersAccessPermission="edit"/>
    <arrUserId title="Диапазон5_1_36_1" rangeCreator="" othersAccessPermission="edit"/>
    <arrUserId title="Диапазон2_1_36_1" rangeCreator="" othersAccessPermission="edit"/>
    <arrUserId title="Диапазон5_1_37_1" rangeCreator="" othersAccessPermission="edit"/>
    <arrUserId title="Диапазон2_1_37_1" rangeCreator="" othersAccessPermission="edit"/>
    <arrUserId title="Диапазон5_1_38_1" rangeCreator="" othersAccessPermission="edit"/>
    <arrUserId title="Диапазон2_1_38_1" rangeCreator="" othersAccessPermission="edit"/>
    <arrUserId title="Диапазон5_1_39_1" rangeCreator="" othersAccessPermission="edit"/>
    <arrUserId title="Диапазон2_1_39_1" rangeCreator="" othersAccessPermission="edit"/>
    <arrUserId title="Диапазон5_1_40_1" rangeCreator="" othersAccessPermission="edit"/>
    <arrUserId title="Диапазон2_1_40_1" rangeCreator="" othersAccessPermission="edit"/>
    <arrUserId title="Диапазон5_1_41_1" rangeCreator="" othersAccessPermission="edit"/>
    <arrUserId title="Диапазон2_1_41_1" rangeCreator="" othersAccessPermission="edit"/>
    <arrUserId title="Диапазон5_1_1_6" rangeCreator="" othersAccessPermission="edit"/>
    <arrUserId title="Диапазон2_1_1_6" rangeCreator="" othersAccessPermission="edit"/>
    <arrUserId title="Диапазон5_1_7" rangeCreator="" othersAccessPermission="edit"/>
    <arrUserId title="Диапазон2_1_7" rangeCreator="" othersAccessPermission="edit"/>
    <arrUserId title="Диапазон5_1_2_6" rangeCreator="" othersAccessPermission="edit"/>
    <arrUserId title="Диапазон2_1_2_6" rangeCreator="" othersAccessPermission="edit"/>
    <arrUserId title="Диапазон5_1_8" rangeCreator="" othersAccessPermission="edit"/>
    <arrUserId title="Диапазон2_1_8" rangeCreator="" othersAccessPermission="edit"/>
    <arrUserId title="Диапазон5_1_9" rangeCreator="" othersAccessPermission="edit"/>
    <arrUserId title="Диапазон2_1_9" rangeCreator="" othersAccessPermission="edit"/>
    <arrUserId title="Диапазон5_4" rangeCreator="" othersAccessPermission="edit"/>
    <arrUserId title="Диапазон2_4" rangeCreator="" othersAccessPermission="edit"/>
    <arrUserId title="Диапазон5_1_10" rangeCreator="" othersAccessPermission="edit"/>
    <arrUserId title="Диапазон2_1_10" rangeCreator="" othersAccessPermission="edit"/>
    <arrUserId title="Диапазон5_1_9_2_1_1" rangeCreator="" othersAccessPermission="edit"/>
    <arrUserId title="Диапазон2_1_9_2_1_1" rangeCreator="" othersAccessPermission="edit"/>
    <arrUserId title="Диапазон5_5" rangeCreator="" othersAccessPermission="edit"/>
    <arrUserId title="Диапазон2_5" rangeCreator="" othersAccessPermission="edit"/>
    <arrUserId title="Диапазон5_1_11" rangeCreator="" othersAccessPermission="edit"/>
    <arrUserId title="Диапазон2_1_11" rangeCreator="" othersAccessPermission="edit"/>
    <arrUserId title="Диапазон5_5_1" rangeCreator="" othersAccessPermission="edit"/>
    <arrUserId title="Диапазон2_5_1" rangeCreator="" othersAccessPermission="edit"/>
    <arrUserId title="Диапазон5_7_1" rangeCreator="" othersAccessPermission="edit"/>
    <arrUserId title="Диапазон2_7_1" rangeCreator="" othersAccessPermission="edit"/>
    <arrUserId title="Диапазон5_6" rangeCreator="" othersAccessPermission="edit"/>
    <arrUserId title="Диапазон2_6" rangeCreator="" othersAccessPermission="edit"/>
    <arrUserId title="Диапазон5_1_12" rangeCreator="" othersAccessPermission="edit"/>
    <arrUserId title="Диапазон2_1_12" rangeCreator="" othersAccessPermission="edit"/>
    <arrUserId title="Диапазон5_1_1_4_2" rangeCreator="" othersAccessPermission="edit"/>
    <arrUserId title="Диапазон2_1_1_4_2" rangeCreator="" othersAccessPermission="edit"/>
    <arrUserId title="Диапазон5_4_2" rangeCreator="" othersAccessPermission="edit"/>
    <arrUserId title="Диапазон2_4_2" rangeCreator="" othersAccessPermission="edit"/>
    <arrUserId title="Диапазон5_2_2_2_1" rangeCreator="" othersAccessPermission="edit"/>
    <arrUserId title="Диапазон2_2_2_2_1" rangeCreator="" othersAccessPermission="edit"/>
    <arrUserId title="Диапазон5_1_9_4_2" rangeCreator="" othersAccessPermission="edit"/>
    <arrUserId title="Диапазон2_1_9_4_2" rangeCreator="" othersAccessPermission="edit"/>
    <arrUserId title="Диапазон5_2_1_10_1" rangeCreator="" othersAccessPermission="edit"/>
    <arrUserId title="Диапазон2_2_1_10_1" rangeCreator="" othersAccessPermission="edit"/>
    <arrUserId title="Диапазон5_1_1_3_1" rangeCreator="" othersAccessPermission="edit"/>
    <arrUserId title="Диапазон2_1_1_3_1" rangeCreator="" othersAccessPermission="edit"/>
    <arrUserId title="Диапазон5_2_1" rangeCreator="" othersAccessPermission="edit"/>
    <arrUserId title="Диапазон2_2_1" rangeCreator="" othersAccessPermission="edit"/>
    <arrUserId title="Диапазон5_4_1_2" rangeCreator="" othersAccessPermission="edit"/>
    <arrUserId title="Диапазон2_4_1_2" rangeCreator="" othersAccessPermission="edit"/>
    <arrUserId title="Диапазон5_1_2" rangeCreator="" othersAccessPermission="edit"/>
    <arrUserId title="Диапазон2_1_2" rangeCreator="" othersAccessPermission="edit"/>
    <arrUserId title="Диапазон5_1_3_1" rangeCreator="" othersAccessPermission="edit"/>
    <arrUserId title="Диапазон2_1_3_1" rangeCreator="" othersAccessPermission="edit"/>
    <arrUserId title="Диапазон5_3" rangeCreator="" othersAccessPermission="edit"/>
    <arrUserId title="Диапазон2_3" rangeCreator="" othersAccessPermission="edit"/>
    <arrUserId title="Диапазон5_2_3" rangeCreator="" othersAccessPermission="edit"/>
    <arrUserId title="Диапазон2_2_3" rangeCreator="" othersAccessPermission="edit"/>
    <arrUserId title="Диапазон5_2_4" rangeCreator="" othersAccessPermission="edit"/>
    <arrUserId title="Диапазон2_2_4" rangeCreator="" othersAccessPermission="edit"/>
    <arrUserId title="Диапазон5_2_5" rangeCreator="" othersAccessPermission="edit"/>
    <arrUserId title="Диапазон2_2_5" rangeCreator="" othersAccessPermission="edit"/>
    <arrUserId title="Диапазон5_2_6" rangeCreator="" othersAccessPermission="edit"/>
    <arrUserId title="Диапазон2_2_6" rangeCreator="" othersAccessPermission="edit"/>
    <arrUserId title="Диапазон5_2_7" rangeCreator="" othersAccessPermission="edit"/>
    <arrUserId title="Диапазон2_2_7" rangeCreator="" othersAccessPermission="edit"/>
    <arrUserId title="Диапазон5_1_1_3" rangeCreator="" othersAccessPermission="edit"/>
    <arrUserId title="Диапазон2_1_1_3" rangeCreator="" othersAccessPermission="edit"/>
    <arrUserId title="Диапазон5_2_5_1" rangeCreator="" othersAccessPermission="edit"/>
    <arrUserId title="Диапазон2_2_5_1" rangeCreator="" othersAccessPermission="edit"/>
    <arrUserId title="Диапазон5_2_2_1_1" rangeCreator="" othersAccessPermission="edit"/>
    <arrUserId title="Диапазон2_2_2_1_1" rangeCreator="" othersAccessPermission="edit"/>
    <arrUserId title="Диапазон5_1_1_5" rangeCreator="" othersAccessPermission="edit"/>
    <arrUserId title="Диапазон2_1_1_5" rangeCreator="" othersAccessPermission="edit"/>
    <arrUserId title="Диапазон5_1_44" rangeCreator="" othersAccessPermission="edit"/>
    <arrUserId title="Диапазон2_1_44" rangeCreator="" othersAccessPermission="edit"/>
    <arrUserId title="Диапазон5_1_5_1_1" rangeCreator="" othersAccessPermission="edit"/>
    <arrUserId title="Диапазон2_1_5_1_1" rangeCreator="" othersAccessPermission="edit"/>
    <arrUserId title="Диапазон5_1_1_2_4" rangeCreator="" othersAccessPermission="edit"/>
    <arrUserId title="Диапазон2_1_1_2_4" rangeCreator="" othersAccessPermission="edit"/>
    <arrUserId title="Диапазон5_1_2_2_2" rangeCreator="" othersAccessPermission="edit"/>
    <arrUserId title="Диапазон2_1_2_2_2" rangeCreator="" othersAccessPermission="edit"/>
    <arrUserId title="Диапазон5_1_2_5" rangeCreator="" othersAccessPermission="edit"/>
    <arrUserId title="Диапазон2_1_2_5" rangeCreator="" othersAccessPermission="edit"/>
    <arrUserId title="Диапазон5_1_2_7" rangeCreator="" othersAccessPermission="edit"/>
    <arrUserId title="Диапазон2_1_2_7" rangeCreator="" othersAccessPermission="edit"/>
    <arrUserId title="Диапазон5_4_1" rangeCreator="" othersAccessPermission="edit"/>
    <arrUserId title="Диапазон2_4_1" rangeCreator="" othersAccessPermission="edit"/>
    <arrUserId title="Диапазон5_2_2" rangeCreator="" othersAccessPermission="edit"/>
    <arrUserId title="Диапазон2_2_2" rangeCreator="" othersAccessPermission="edit"/>
    <arrUserId title="Диапазон5_1_1_4_1" rangeCreator="" othersAccessPermission="edit"/>
    <arrUserId title="Диапазон2_1_1_4_1" rangeCreator="" othersAccessPermission="edit"/>
    <arrUserId title="Диапазон5_2_2_1" rangeCreator="" othersAccessPermission="edit"/>
    <arrUserId title="Диапазон2_2_2_1" rangeCreator="" othersAccessPermission="edit"/>
    <arrUserId title="Диапазон5_2_2_2" rangeCreator="" othersAccessPermission="edit"/>
    <arrUserId title="Диапазон2_2_2_2" rangeCreator="" othersAccessPermission="edit"/>
    <arrUserId title="Диапазон5_1_13" rangeCreator="" othersAccessPermission="edit"/>
    <arrUserId title="Диапазон2_1_13" rangeCreator="" othersAccessPermission="edit"/>
    <arrUserId title="Диапазон5_1_15" rangeCreator="" othersAccessPermission="edit"/>
    <arrUserId title="Диапазон2_1_15" rangeCreator="" othersAccessPermission="edit"/>
    <arrUserId title="Диапазон5_1_16" rangeCreator="" othersAccessPermission="edit"/>
    <arrUserId title="Диапазон2_1_16" rangeCreator="" othersAccessPermission="edit"/>
    <arrUserId title="Диапазон5_1_14" rangeCreator="" othersAccessPermission="edit"/>
    <arrUserId title="Диапазон2_1_14" rangeCreator="" othersAccessPermission="edit"/>
    <arrUserId title="Диапазон5_1_18" rangeCreator="" othersAccessPermission="edit"/>
    <arrUserId title="Диапазон2_1_18" rangeCreator="" othersAccessPermission="edit"/>
    <arrUserId title="Диапазон5_1_19" rangeCreator="" othersAccessPermission="edit"/>
    <arrUserId title="Диапазон2_1_19" rangeCreator="" othersAccessPermission="edit"/>
    <arrUserId title="Диапазон5_1_20" rangeCreator="" othersAccessPermission="edit"/>
    <arrUserId title="Диапазон2_1_20" rangeCreator="" othersAccessPermission="edit"/>
    <arrUserId title="Диапазон5_1_9_4" rangeCreator="" othersAccessPermission="edit"/>
    <arrUserId title="Диапазон2_1_9_4" rangeCreator="" othersAccessPermission="edit"/>
    <arrUserId title="Диапазон5_1_7_1" rangeCreator="" othersAccessPermission="edit"/>
    <arrUserId title="Диапазон2_1_7_1" rangeCreator="" othersAccessPermission="edit"/>
    <arrUserId title="Диапазон5_1_17" rangeCreator="" othersAccessPermission="edit"/>
    <arrUserId title="Диапазон2_1_17" rangeCreator="" othersAccessPermission="edit"/>
    <arrUserId title="Диапазон5_1_21" rangeCreator="" othersAccessPermission="edit"/>
    <arrUserId title="Диапазон2_1_21" rangeCreator="" othersAccessPermission="edit"/>
    <arrUserId title="Диапазон5_1_1_7" rangeCreator="" othersAccessPermission="edit"/>
    <arrUserId title="Диапазон2_1_1_7" rangeCreator="" othersAccessPermission="edit"/>
    <arrUserId title="Диапазон5_1_1_8" rangeCreator="" othersAccessPermission="edit"/>
    <arrUserId title="Диапазон2_1_1_8" rangeCreator="" othersAccessPermission="edit"/>
    <arrUserId title="Диапазон5_1_10_1" rangeCreator="" othersAccessPermission="edit"/>
    <arrUserId title="Диапазон2_1_10_1" rangeCreator="" othersAccessPermission="edit"/>
    <arrUserId title="Диапазон5_1_13_1" rangeCreator="" othersAccessPermission="edit"/>
    <arrUserId title="Диапазон2_1_13_1" rangeCreator="" othersAccessPermission="edit"/>
    <arrUserId title="Диапазон5_1_20_2" rangeCreator="" othersAccessPermission="edit"/>
    <arrUserId title="Диапазон2_1_20_2" rangeCreator="" othersAccessPermission="edit"/>
    <arrUserId title="Диапазон5_1_29_1" rangeCreator="" othersAccessPermission="edit"/>
    <arrUserId title="Диапазон2_1_29_1" rangeCreator="" othersAccessPermission="edit"/>
    <arrUserId title="Диапазон5_1_5_11" rangeCreator="" othersAccessPermission="edit"/>
    <arrUserId title="Диапазон2_1_5_11" rangeCreator="" othersAccessPermission="edit"/>
    <arrUserId title="Диапазон5_1_3_2_3" rangeCreator="" othersAccessPermission="edit"/>
    <arrUserId title="Диапазон2_1_3_2_3" rangeCreator="" othersAccessPermission="edit"/>
    <arrUserId title="Диапазон5_1_5_12" rangeCreator="" othersAccessPermission="edit"/>
    <arrUserId title="Диапазон2_1_5_12" rangeCreator="" othersAccessPermission="edit"/>
    <arrUserId title="Диапазон5_1_1_2_5" rangeCreator="" othersAccessPermission="edit"/>
    <arrUserId title="Диапазон2_1_1_2_5" rangeCreator="" othersAccessPermission="edit"/>
    <arrUserId title="Диапазон5_1_2_2_3" rangeCreator="" othersAccessPermission="edit"/>
    <arrUserId title="Диапазон2_1_2_2_3" rangeCreator="" othersAccessPermission="edit"/>
    <arrUserId title="Диапазон5_1_3_2_4" rangeCreator="" othersAccessPermission="edit"/>
    <arrUserId title="Диапазон2_1_3_2_4" rangeCreator="" othersAccessPermission="edit"/>
    <arrUserId title="Диапазон5" rangeCreator="" othersAccessPermission="edit"/>
    <arrUserId title="Диапазон2" rangeCreator="" othersAccessPermission="edit"/>
    <arrUserId title="Диапазон5_1_22" rangeCreator="" othersAccessPermission="edit"/>
    <arrUserId title="Диапазон2_1_22" rangeCreator="" othersAccessPermission="edit"/>
    <arrUserId title="Диапазон5_2_8" rangeCreator="" othersAccessPermission="edit"/>
    <arrUserId title="Диапазон2_2_8" rangeCreator="" othersAccessPermission="edit"/>
    <arrUserId title="Диапазон5_1_1_1_1" rangeCreator="" othersAccessPermission="edit"/>
    <arrUserId title="Диапазон2_1_1_1_1" rangeCreator="" othersAccessPermission="edit"/>
    <arrUserId title="Диапазон5_2_1_1" rangeCreator="" othersAccessPermission="edit"/>
    <arrUserId title="Диапазон2_2_1_1" rangeCreator="" othersAccessPermission="edit"/>
    <arrUserId title="Диапазон5_1_2_8" rangeCreator="" othersAccessPermission="edit"/>
    <arrUserId title="Диапазон2_1_2_8" rangeCreator="" othersAccessPermission="edit"/>
    <arrUserId title="Диапазон5_1_2_1_5" rangeCreator="" othersAccessPermission="edit"/>
    <arrUserId title="Диапазон2_1_2_1_5" rangeCreator="" othersAccessPermission="edit"/>
    <arrUserId title="Диапазон5_1_3_3" rangeCreator="" othersAccessPermission="edit"/>
    <arrUserId title="Диапазон2_1_3_3" rangeCreator="" othersAccessPermission="edit"/>
    <arrUserId title="Диапазон5_1_1_3_3" rangeCreator="" othersAccessPermission="edit"/>
    <arrUserId title="Диапазон2_1_1_3_3" rangeCreator="" othersAccessPermission="edit"/>
    <arrUserId title="Диапазон5_4_4" rangeCreator="" othersAccessPermission="edit"/>
    <arrUserId title="Диапазон2_4_4" rangeCreator="" othersAccessPermission="edit"/>
    <arrUserId title="Диапазон5_2_2_3" rangeCreator="" othersAccessPermission="edit"/>
    <arrUserId title="Диапазон2_2_2_3" rangeCreator="" othersAccessPermission="edit"/>
    <arrUserId title="Диапазон5_1_1_4_3" rangeCreator="" othersAccessPermission="edit"/>
    <arrUserId title="Диапазон2_1_1_4_3" rangeCreator="" othersAccessPermission="edit"/>
    <arrUserId title="Диапазон5_1_1_5_1" rangeCreator="" othersAccessPermission="edit"/>
    <arrUserId title="Диапазон2_1_1_5_1" rangeCreator="" othersAccessPermission="edit"/>
    <arrUserId title="Диапазон5_1_3_1_1" rangeCreator="" othersAccessPermission="edit"/>
    <arrUserId title="Диапазон2_1_3_1_1" rangeCreator="" othersAccessPermission="edit"/>
    <arrUserId title="Диапазон5_1_4_1" rangeCreator="" othersAccessPermission="edit"/>
    <arrUserId title="Диапазон2_1_4_1" rangeCreator="" othersAccessPermission="edit"/>
    <arrUserId title="Диапазон5_1_5_1_2" rangeCreator="" othersAccessPermission="edit"/>
    <arrUserId title="Диапазон2_1_5_1_2" rangeCreator="" othersAccessPermission="edit"/>
    <arrUserId title="Диапазон5_1_6_1" rangeCreator="" othersAccessPermission="edit"/>
    <arrUserId title="Диапазон2_1_6_1" rangeCreator="" othersAccessPermission="edit"/>
    <arrUserId title="Диапазон5_1_7_2" rangeCreator="" othersAccessPermission="edit"/>
    <arrUserId title="Диапазон2_1_7_2" rangeCreator="" othersAccessPermission="edit"/>
    <arrUserId title="Диапазон5_1_8_1" rangeCreator="" othersAccessPermission="edit"/>
    <arrUserId title="Диапазон2_1_8_1" rangeCreator="" othersAccessPermission="edit"/>
    <arrUserId title="Диапазон5_1_11_1" rangeCreator="" othersAccessPermission="edit"/>
    <arrUserId title="Диапазон2_1_11_1" rangeCreator="" othersAccessPermission="edit"/>
    <arrUserId title="Диапазон5_1_12_1" rangeCreator="" othersAccessPermission="edit"/>
    <arrUserId title="Диапазон2_1_12_1" rangeCreator="" othersAccessPermission="edit"/>
    <arrUserId title="Диапазон5_1_14_1" rangeCreator="" othersAccessPermission="edit"/>
    <arrUserId title="Диапазон2_1_14_1" rangeCreator="" othersAccessPermission="edit"/>
    <arrUserId title="Диапазон5_1_15_1" rangeCreator="" othersAccessPermission="edit"/>
    <arrUserId title="Диапазон2_1_15_1" rangeCreator="" othersAccessPermission="edit"/>
    <arrUserId title="Диапазон5_1_16_1" rangeCreator="" othersAccessPermission="edit"/>
    <arrUserId title="Диапазон2_1_16_1" rangeCreator="" othersAccessPermission="edit"/>
    <arrUserId title="Диапазон5_1_17_1" rangeCreator="" othersAccessPermission="edit"/>
    <arrUserId title="Диапазон2_1_17_1" rangeCreator="" othersAccessPermission="edit"/>
    <arrUserId title="Диапазон5_2_3_1" rangeCreator="" othersAccessPermission="edit"/>
    <arrUserId title="Диапазон2_2_3_1" rangeCreator="" othersAccessPermission="edit"/>
    <arrUserId title="Диапазон5_2_1_2" rangeCreator="" othersAccessPermission="edit"/>
    <arrUserId title="Диапазон2_2_1_2" rangeCreator="" othersAccessPermission="edit"/>
    <arrUserId title="Диапазон5_1_18_1" rangeCreator="" othersAccessPermission="edit"/>
    <arrUserId title="Диапазон2_1_18_1" rangeCreator="" othersAccessPermission="edit"/>
    <arrUserId title="Диапазон5_1_19_1" rangeCreator="" othersAccessPermission="edit"/>
    <arrUserId title="Диапазон2_1_19_1" rangeCreator="" othersAccessPermission="edit"/>
    <arrUserId title="Диапазон5_1_21_1" rangeCreator="" othersAccessPermission="edit"/>
    <arrUserId title="Диапазон2_1_21_1" rangeCreator="" othersAccessPermission="edit"/>
    <arrUserId title="Диапазон5_1_22_1" rangeCreator="" othersAccessPermission="edit"/>
    <arrUserId title="Диапазон2_1_22_1" rangeCreator="" othersAccessPermission="edit"/>
    <arrUserId title="Диапазон5_1_23" rangeCreator="" othersAccessPermission="edit"/>
    <arrUserId title="Диапазон2_1_23" rangeCreator="" othersAccessPermission="edit"/>
    <arrUserId title="Диапазон5_1_24" rangeCreator="" othersAccessPermission="edit"/>
    <arrUserId title="Диапазон2_1_24" rangeCreator="" othersAccessPermission="edit"/>
    <arrUserId title="Диапазон5_1_25" rangeCreator="" othersAccessPermission="edit"/>
    <arrUserId title="Диапазон2_1_25" rangeCreator="" othersAccessPermission="edit"/>
    <arrUserId title="Диапазон5_1_7_3" rangeCreator="" othersAccessPermission="edit"/>
    <arrUserId title="Диапазон2_1_7_3" rangeCreator="" othersAccessPermission="edit"/>
    <arrUserId title="Диапазон5_1_2_6_1" rangeCreator="" othersAccessPermission="edit"/>
    <arrUserId title="Диапазон2_1_2_6_1" rangeCreator="" othersAccessPermission="edit"/>
    <arrUserId title="Диапазон5_1_8_2" rangeCreator="" othersAccessPermission="edit"/>
    <arrUserId title="Диапазон2_1_8_2" rangeCreator="" othersAccessPermission="edit"/>
    <arrUserId title="Диапазон5_1_9_1" rangeCreator="" othersAccessPermission="edit"/>
    <arrUserId title="Диапазон2_1_9_1" rangeCreator="" othersAccessPermission="edit"/>
    <arrUserId title="Диапазон5_1_10_2" rangeCreator="" othersAccessPermission="edit"/>
    <arrUserId title="Диапазон2_1_10_2" rangeCreator="" othersAccessPermission="edit"/>
    <arrUserId title="Диапазон5_1_9_2_1_1_1" rangeCreator="" othersAccessPermission="edit"/>
    <arrUserId title="Диапазон2_1_9_2_1_1_1" rangeCreator="" othersAccessPermission="edit"/>
    <arrUserId title="Диапазон5_1_11_2" rangeCreator="" othersAccessPermission="edit"/>
    <arrUserId title="Диапазон2_1_11_2" rangeCreator="" othersAccessPermission="edit"/>
    <arrUserId title="Диапазон5_1_12_2" rangeCreator="" othersAccessPermission="edit"/>
    <arrUserId title="Диапазон2_1_12_2" rangeCreator="" othersAccessPermission="edit"/>
    <arrUserId title="Диапазон5_1_1_4_2_1" rangeCreator="" othersAccessPermission="edit"/>
    <arrUserId title="Диапазон2_1_1_4_2_1" rangeCreator="" othersAccessPermission="edit"/>
    <arrUserId title="Диапазон5_1_9_4_2_1" rangeCreator="" othersAccessPermission="edit"/>
    <arrUserId title="Диапазон2_1_9_4_2_1" rangeCreator="" othersAccessPermission="edit"/>
    <arrUserId title="Диапазон5_2_1_3" rangeCreator="" othersAccessPermission="edit"/>
    <arrUserId title="Диапазон2_2_1_3" rangeCreator="" othersAccessPermission="edit"/>
    <arrUserId title="Диапазон5_1_2_9" rangeCreator="" othersAccessPermission="edit"/>
    <arrUserId title="Диапазон2_1_2_9" rangeCreator="" othersAccessPermission="edit"/>
    <arrUserId title="Диапазон5_1_3_1_2" rangeCreator="" othersAccessPermission="edit"/>
    <arrUserId title="Диапазон2_1_3_1_2" rangeCreator="" othersAccessPermission="edit"/>
    <arrUserId title="Диапазон5_2_3_2" rangeCreator="" othersAccessPermission="edit"/>
    <arrUserId title="Диапазон2_2_3_2" rangeCreator="" othersAccessPermission="edit"/>
    <arrUserId title="Диапазон5_2_4_1" rangeCreator="" othersAccessPermission="edit"/>
    <arrUserId title="Диапазон2_2_4_1" rangeCreator="" othersAccessPermission="edit"/>
    <arrUserId title="Диапазон5_2_5_2" rangeCreator="" othersAccessPermission="edit"/>
    <arrUserId title="Диапазон2_2_5_2" rangeCreator="" othersAccessPermission="edit"/>
    <arrUserId title="Диапазон5_2_6_1" rangeCreator="" othersAccessPermission="edit"/>
    <arrUserId title="Диапазон2_2_6_1" rangeCreator="" othersAccessPermission="edit"/>
    <arrUserId title="Диапазон5_2_7_1" rangeCreator="" othersAccessPermission="edit"/>
    <arrUserId title="Диапазон2_2_7_1" rangeCreator="" othersAccessPermission="edit"/>
    <arrUserId title="Диапазон5_2_5_1_1" rangeCreator="" othersAccessPermission="edit"/>
    <arrUserId title="Диапазон2_2_5_1_1" rangeCreator="" othersAccessPermission="edit"/>
    <arrUserId title="Диапазон5_2_2_1_1_1" rangeCreator="" othersAccessPermission="edit"/>
    <arrUserId title="Диапазон2_2_2_1_1_1" rangeCreator="" othersAccessPermission="edit"/>
    <arrUserId title="Диапазон5_1_2_2_2_1" rangeCreator="" othersAccessPermission="edit"/>
    <arrUserId title="Диапазон2_1_2_2_2_1" rangeCreator="" othersAccessPermission="edit"/>
    <arrUserId title="Диапазон5_1_2_5_1" rangeCreator="" othersAccessPermission="edit"/>
    <arrUserId title="Диапазон2_1_2_5_1" rangeCreator="" othersAccessPermission="edit"/>
    <arrUserId title="Диапазон5_1_2_7_1" rangeCreator="" othersAccessPermission="edit"/>
    <arrUserId title="Диапазон2_1_2_7_1" rangeCreator="" othersAccessPermission="edit"/>
    <arrUserId title="Диапазон5_1_1_4_1_1" rangeCreator="" othersAccessPermission="edit"/>
    <arrUserId title="Диапазон2_1_1_4_1_1" rangeCreator="" othersAccessPermission="edit"/>
    <arrUserId title="Диапазон5_2_2_1_2" rangeCreator="" othersAccessPermission="edit"/>
    <arrUserId title="Диапазон2_2_2_1_2" rangeCreator="" othersAccessPermission="edit"/>
    <arrUserId title="Диапазон5_2_2_2_2" rangeCreator="" othersAccessPermission="edit"/>
    <arrUserId title="Диапазон2_2_2_2_2" rangeCreator="" othersAccessPermission="edit"/>
    <arrUserId title="Диапазон5_1_13_2" rangeCreator="" othersAccessPermission="edit"/>
    <arrUserId title="Диапазон2_1_13_2" rangeCreator="" othersAccessPermission="edit"/>
    <arrUserId title="Диапазон5_1_15_2" rangeCreator="" othersAccessPermission="edit"/>
    <arrUserId title="Диапазон2_1_15_2" rangeCreator="" othersAccessPermission="edit"/>
    <arrUserId title="Диапазон5_1_16_2" rangeCreator="" othersAccessPermission="edit"/>
    <arrUserId title="Диапазон2_1_16_2" rangeCreator="" othersAccessPermission="edit"/>
    <arrUserId title="Диапазон5_1_14_2" rangeCreator="" othersAccessPermission="edit"/>
    <arrUserId title="Диапазон2_1_14_2" rangeCreator="" othersAccessPermission="edit"/>
    <arrUserId title="Диапазон5_1_18_2" rangeCreator="" othersAccessPermission="edit"/>
    <arrUserId title="Диапазон2_1_18_2" rangeCreator="" othersAccessPermission="edit"/>
    <arrUserId title="Диапазон5_1_19_2" rangeCreator="" othersAccessPermission="edit"/>
    <arrUserId title="Диапазон2_1_19_2" rangeCreator="" othersAccessPermission="edit"/>
    <arrUserId title="Диапазон5_1_9_4_1" rangeCreator="" othersAccessPermission="edit"/>
    <arrUserId title="Диапазон2_1_9_4_1" rangeCreator="" othersAccessPermission="edit"/>
    <arrUserId title="Диапазон5_1_17_2" rangeCreator="" othersAccessPermission="edit"/>
    <arrUserId title="Диапазон2_1_17_2" rangeCreator="" othersAccessPermission="edit"/>
    <arrUserId title="Диапазон5_1_21_2" rangeCreator="" othersAccessPermission="edit"/>
    <arrUserId title="Диапазон2_1_21_2" rangeCreator="" othersAccessPermission="edit"/>
    <arrUserId title="Диапазон5_1_20_2_1" rangeCreator="" othersAccessPermission="edit"/>
    <arrUserId title="Диапазон2_1_20_2_1" rangeCreator="" othersAccessPermission="edit"/>
    <arrUserId title="Диапазон5_1_5_11_1" rangeCreator="" othersAccessPermission="edit"/>
    <arrUserId title="Диапазон2_1_5_11_1" rangeCreator="" othersAccessPermission="edit"/>
    <arrUserId title="Диапазон5_2_2_3_1" rangeCreator="" othersAccessPermission="edit"/>
    <arrUserId title="Диапазон2_2_2_3_1" rangeCreator="" othersAccessPermission="edit"/>
    <arrUserId title="Диапазон5_1_4_1_1" rangeCreator="" othersAccessPermission="edit"/>
    <arrUserId title="Диапазон2_1_4_1_1" rangeCreator="" othersAccessPermission="edit"/>
    <arrUserId title="Диапазон5_1_5_1_2_1" rangeCreator="" othersAccessPermission="edit"/>
    <arrUserId title="Диапазон2_1_5_1_2_1" rangeCreator="" othersAccessPermission="edit"/>
    <arrUserId title="Диапазон5_1_6_1_1" rangeCreator="" othersAccessPermission="edit"/>
    <arrUserId title="Диапазон2_1_6_1_1" rangeCreator="" othersAccessPermission="edit"/>
    <arrUserId title="Диапазон5_1_11_1_1" rangeCreator="" othersAccessPermission="edit"/>
    <arrUserId title="Диапазон2_1_11_1_1" rangeCreator="" othersAccessPermission="edit"/>
    <arrUserId title="Диапазон5_1_14_1_1" rangeCreator="" othersAccessPermission="edit"/>
    <arrUserId title="Диапазон2_1_14_1_1" rangeCreator="" othersAccessPermission="edit"/>
    <arrUserId title="Диапазон5_1_15_1_1" rangeCreator="" othersAccessPermission="edit"/>
    <arrUserId title="Диапазон2_1_15_1_1" rangeCreator="" othersAccessPermission="edit"/>
    <arrUserId title="Диапазон5_1_16_1_1" rangeCreator="" othersAccessPermission="edit"/>
    <arrUserId title="Диапазон2_1_16_1_1" rangeCreator="" othersAccessPermission="edit"/>
    <arrUserId title="Диапазон5_1_18_1_1" rangeCreator="" othersAccessPermission="edit"/>
    <arrUserId title="Диапазон2_1_18_1_1" rangeCreator="" othersAccessPermission="edit"/>
    <arrUserId title="Диапазон5_1_19_1_1" rangeCreator="" othersAccessPermission="edit"/>
    <arrUserId title="Диапазон2_1_19_1_1" rangeCreator="" othersAccessPermission="edit"/>
    <arrUserId title="Диапазон5_1_23_1" rangeCreator="" othersAccessPermission="edit"/>
    <arrUserId title="Диапазон2_1_23_1" rangeCreator="" othersAccessPermission="edit"/>
    <arrUserId title="Диапазон5_1_26" rangeCreator="" othersAccessPermission="edit"/>
    <arrUserId title="Диапазон2_1_26" rangeCreator="" othersAccessPermission="edit"/>
    <arrUserId title="Диапазон5_1_7_4" rangeCreator="" othersAccessPermission="edit"/>
    <arrUserId title="Диапазон2_1_7_4" rangeCreator="" othersAccessPermission="edit"/>
    <arrUserId title="Диапазон5_1_2_6_2" rangeCreator="" othersAccessPermission="edit"/>
    <arrUserId title="Диапазон2_1_2_6_2" rangeCreator="" othersAccessPermission="edit"/>
    <arrUserId title="Диапазон5_1_9_2_1_1_2" rangeCreator="" othersAccessPermission="edit"/>
    <arrUserId title="Диапазон2_1_9_2_1_1_2" rangeCreator="" othersAccessPermission="edit"/>
    <arrUserId title="Диапазон5_1_11_3" rangeCreator="" othersAccessPermission="edit"/>
    <arrUserId title="Диапазон2_1_11_3" rangeCreator="" othersAccessPermission="edit"/>
    <arrUserId title="Диапазон5_1_12_3" rangeCreator="" othersAccessPermission="edit"/>
    <arrUserId title="Диапазон2_1_12_3" rangeCreator="" othersAccessPermission="edit"/>
    <arrUserId title="Диапазон5_1_1_4_2_2" rangeCreator="" othersAccessPermission="edit"/>
    <arrUserId title="Диапазон2_1_1_4_2_2" rangeCreator="" othersAccessPermission="edit"/>
    <arrUserId title="Диапазон5_1_9_4_2_2" rangeCreator="" othersAccessPermission="edit"/>
    <arrUserId title="Диапазон2_1_9_4_2_2" rangeCreator="" othersAccessPermission="edit"/>
    <arrUserId title="Диапазон5_2_1_4" rangeCreator="" othersAccessPermission="edit"/>
    <arrUserId title="Диапазон2_2_1_4" rangeCreator="" othersAccessPermission="edit"/>
    <arrUserId title="Диапазон5_1_2_10" rangeCreator="" othersAccessPermission="edit"/>
    <arrUserId title="Диапазон2_1_2_10" rangeCreator="" othersAccessPermission="edit"/>
    <arrUserId title="Диапазон5_1_3_1_3" rangeCreator="" othersAccessPermission="edit"/>
    <arrUserId title="Диапазон2_1_3_1_3" rangeCreator="" othersAccessPermission="edit"/>
    <arrUserId title="Диапазон5_2_3_3" rangeCreator="" othersAccessPermission="edit"/>
    <arrUserId title="Диапазон2_2_3_3" rangeCreator="" othersAccessPermission="edit"/>
    <arrUserId title="Диапазон5_2_4_2" rangeCreator="" othersAccessPermission="edit"/>
    <arrUserId title="Диапазон2_2_4_2" rangeCreator="" othersAccessPermission="edit"/>
    <arrUserId title="Диапазон5_2_5_3" rangeCreator="" othersAccessPermission="edit"/>
    <arrUserId title="Диапазон2_2_5_3" rangeCreator="" othersAccessPermission="edit"/>
    <arrUserId title="Диапазон5_2_6_2" rangeCreator="" othersAccessPermission="edit"/>
    <arrUserId title="Диапазон2_2_6_2" rangeCreator="" othersAccessPermission="edit"/>
    <arrUserId title="Диапазон5_2_7_2" rangeCreator="" othersAccessPermission="edit"/>
    <arrUserId title="Диапазон2_2_7_2" rangeCreator="" othersAccessPermission="edit"/>
    <arrUserId title="Диапазон5_2_5_1_2" rangeCreator="" othersAccessPermission="edit"/>
    <arrUserId title="Диапазон2_2_5_1_2" rangeCreator="" othersAccessPermission="edit"/>
    <arrUserId title="Диапазон5_2_2_1_1_2" rangeCreator="" othersAccessPermission="edit"/>
    <arrUserId title="Диапазон2_2_2_1_1_2" rangeCreator="" othersAccessPermission="edit"/>
    <arrUserId title="Диапазон5_1_13_3" rangeCreator="" othersAccessPermission="edit"/>
    <arrUserId title="Диапазон2_1_13_3" rangeCreator="" othersAccessPermission="edit"/>
    <arrUserId title="Диапазон5_1_18_3" rangeCreator="" othersAccessPermission="edit"/>
    <arrUserId title="Диапазон2_1_18_3" rangeCreator="" othersAccessPermission="edit"/>
    <arrUserId title="Диапазон5_1_19_3" rangeCreator="" othersAccessPermission="edit"/>
    <arrUserId title="Диапазон2_1_19_3" rangeCreator="" othersAccessPermission="edit"/>
    <arrUserId title="Диапазон5_1_17_3" rangeCreator="" othersAccessPermission="edit"/>
    <arrUserId title="Диапазон2_1_17_3" rangeCreator="" othersAccessPermission="edit"/>
    <arrUserId title="Диапазон5_1_20_2_2" rangeCreator="" othersAccessPermission="edit"/>
    <arrUserId title="Диапазон2_1_20_2_2" rangeCreator="" othersAccessPermission="edit"/>
    <arrUserId title="Диапазон5_1_5_11_2" rangeCreator="" othersAccessPermission="edit"/>
    <arrUserId title="Диапазон2_1_5_11_2" rangeCreator="" othersAccessPermission="edit"/>
    <arrUserId title="Диапазон5_2_2_3_2" rangeCreator="" othersAccessPermission="edit"/>
    <arrUserId title="Диапазон2_2_2_3_2" rangeCreator="" othersAccessPermission="edit"/>
    <arrUserId title="Диапазон5_1_4_1_2" rangeCreator="" othersAccessPermission="edit"/>
    <arrUserId title="Диапазон2_1_4_1_2" rangeCreator="" othersAccessPermission="edit"/>
    <arrUserId title="Диапазон5_1_5_1_2_2" rangeCreator="" othersAccessPermission="edit"/>
    <arrUserId title="Диапазон2_1_5_1_2_2" rangeCreator="" othersAccessPermission="edit"/>
    <arrUserId title="Диапазон5_1_6_1_2" rangeCreator="" othersAccessPermission="edit"/>
    <arrUserId title="Диапазон2_1_6_1_2" rangeCreator="" othersAccessPermission="edit"/>
    <arrUserId title="Диапазон5_1_11_1_2" rangeCreator="" othersAccessPermission="edit"/>
    <arrUserId title="Диапазон2_1_11_1_2" rangeCreator="" othersAccessPermission="edit"/>
    <arrUserId title="Диапазон5_1_14_1_2" rangeCreator="" othersAccessPermission="edit"/>
    <arrUserId title="Диапазон2_1_14_1_2" rangeCreator="" othersAccessPermission="edit"/>
    <arrUserId title="Диапазон5_1_15_1_2" rangeCreator="" othersAccessPermission="edit"/>
    <arrUserId title="Диапазон2_1_15_1_2" rangeCreator="" othersAccessPermission="edit"/>
    <arrUserId title="Диапазон5_1_16_1_2" rangeCreator="" othersAccessPermission="edit"/>
    <arrUserId title="Диапазон2_1_16_1_2" rangeCreator="" othersAccessPermission="edit"/>
    <arrUserId title="Диапазон5_1_18_1_2" rangeCreator="" othersAccessPermission="edit"/>
    <arrUserId title="Диапазон2_1_18_1_2" rangeCreator="" othersAccessPermission="edit"/>
    <arrUserId title="Диапазон5_1_19_1_2" rangeCreator="" othersAccessPermission="edit"/>
    <arrUserId title="Диапазон2_1_19_1_2" rangeCreator="" othersAccessPermission="edit"/>
    <arrUserId title="Диапазон5_1_23_2" rangeCreator="" othersAccessPermission="edit"/>
    <arrUserId title="Диапазон2_1_23_2" rangeCreator="" othersAccessPermission="edit"/>
    <arrUserId title="Диапазон5_1_25_2" rangeCreator="" othersAccessPermission="edit"/>
    <arrUserId title="Диапазон2_1_25_2" rangeCreator="" othersAccessPermission="edit"/>
  </rangeList>
  <rangeList sheetStid="85" master="" otherUserPermission="visible">
    <arrUserId title="Диапазон3_1" rangeCreator="" othersAccessPermission="edit"/>
  </rangeList>
  <rangeList sheetStid="31" master="" otherUserPermission="visible">
    <arrUserId title="Диапазон5_2_1_1" rangeCreator="" othersAccessPermission="edit"/>
    <arrUserId title="Диапазон2_2_1_1" rangeCreator="" othersAccessPermission="edit"/>
  </rangeList>
  <rangeList sheetStid="49" master="" otherUserPermission="visible">
    <arrUserId title="Диапазон5_2" rangeCreator="" othersAccessPermission="edit"/>
    <arrUserId title="Диапазон2_2" rangeCreator="" othersAccessPermission="edit"/>
    <arrUserId title="Диапазон3_3" rangeCreator="" othersAccessPermission="edit"/>
    <arrUserId title="Диапазон5_11_1" rangeCreator="" othersAccessPermission="edit"/>
    <arrUserId title="Диапазон2_11_1" rangeCreator="" othersAccessPermission="edit"/>
    <arrUserId title="Диапазон5_12_1" rangeCreator="" othersAccessPermission="edit"/>
    <arrUserId title="Диапазон2_12_1" rangeCreator="" othersAccessPermission="edit"/>
    <arrUserId title="Диапазон5_19_1" rangeCreator="" othersAccessPermission="edit"/>
    <arrUserId title="Диапазон2_21_1" rangeCreator="" othersAccessPermission="edit"/>
    <arrUserId title="Диапазон5_21_1_1" rangeCreator="" othersAccessPermission="edit"/>
    <arrUserId title="Диапазон2_23_1_1" rangeCreator="" othersAccessPermission="edit"/>
    <arrUserId title="Диапазон5_26_2" rangeCreator="" othersAccessPermission="edit"/>
    <arrUserId title="Диапазон2_28_2" rangeCreator="" othersAccessPermission="edit"/>
    <arrUserId title="Диапазон5_14_1" rangeCreator="" othersAccessPermission="edit"/>
    <arrUserId title="Диапазон2_14_1" rangeCreator="" othersAccessPermission="edit"/>
    <arrUserId title="Диапазон5_27_1_1_1" rangeCreator="" othersAccessPermission="edit"/>
    <arrUserId title="Диапазон2_29_1_1_1" rangeCreator="" othersAccessPermission="edit"/>
    <arrUserId title="Диапазон5_20_1" rangeCreator="" othersAccessPermission="edit"/>
    <arrUserId title="Диапазон2_22_1" rangeCreator="" othersAccessPermission="edit"/>
    <arrUserId title="Диапазон2_14_3_1_1_1" rangeCreator="" othersAccessPermission="edit"/>
    <arrUserId title="Диапазон5_14_3_1_1_1" rangeCreator="" othersAccessPermission="edit"/>
    <arrUserId title="Диапазон2_14_4_1_1_1" rangeCreator="" othersAccessPermission="edit"/>
    <arrUserId title="Диапазон2_14_3_1_2_1" rangeCreator="" othersAccessPermission="edit"/>
    <arrUserId title="Диапазон5_14_3_1_2_1" rangeCreator="" othersAccessPermission="edit"/>
    <arrUserId title="Диапазон2_14_4_1_2_1" rangeCreator="" othersAccessPermission="edit"/>
    <arrUserId title="Диапазон5_27_1_1_1_1_1_1" rangeCreator="" othersAccessPermission="edit"/>
    <arrUserId title="Диапазон2_29_1_1_1_1_1_1" rangeCreator="" othersAccessPermission="edit"/>
    <arrUserId title="Диапазон2_31_1" rangeCreator="" othersAccessPermission="edit"/>
    <arrUserId title="Диапазон5_29_1" rangeCreator="" othersAccessPermission="edit"/>
    <arrUserId title="Диапазон2_32_1" rangeCreator="" othersAccessPermission="edit"/>
    <arrUserId title="Диапазон5_30_1" rangeCreator="" othersAccessPermission="edit"/>
    <arrUserId title="Диапазон2_33_1" rangeCreator="" othersAccessPermission="edit"/>
    <arrUserId title="Диапазон5_31_1" rangeCreator="" othersAccessPermission="edit"/>
    <arrUserId title="Диапазон2_34_1" rangeCreator="" othersAccessPermission="edit"/>
    <arrUserId title="Диапазон5_32_1" rangeCreator="" othersAccessPermission="edit"/>
    <arrUserId title="Диапазон2_35_1" rangeCreator="" othersAccessPermission="edit"/>
    <arrUserId title="Диапазон5_34_1" rangeCreator="" othersAccessPermission="edit"/>
    <arrUserId title="Диапазон5_35_1" rangeCreator="" othersAccessPermission="edit"/>
    <arrUserId title="Диапазон2_38_1" rangeCreator="" othersAccessPermission="edit"/>
    <arrUserId title="Диапазон2_39_3" rangeCreator="" othersAccessPermission="edit"/>
    <arrUserId title="Диапазон2_44_3" rangeCreator="" othersAccessPermission="edit"/>
    <arrUserId title="Диапазон5_44_1" rangeCreator="" othersAccessPermission="edit"/>
    <arrUserId title="Диапазон2_47_1" rangeCreator="" othersAccessPermission="edit"/>
    <arrUserId title="Диапазон2_48_2" rangeCreator="" othersAccessPermission="edit"/>
    <arrUserId title="Диапазон2_49_1" rangeCreator="" othersAccessPermission="edit"/>
    <arrUserId title="Диапазон5_36_1_3" rangeCreator="" othersAccessPermission="edit"/>
    <arrUserId title="Диапазон2_39_1_3" rangeCreator="" othersAccessPermission="edit"/>
    <arrUserId title="Диапазон2_44_1_2" rangeCreator="" othersAccessPermission="edit"/>
    <arrUserId title="Диапазон5_36_1_1_2" rangeCreator="" othersAccessPermission="edit"/>
    <arrUserId title="Диапазон2_39_1_1_2" rangeCreator="" othersAccessPermission="edit"/>
    <arrUserId title="Диапазон2_44_2_2" rangeCreator="" othersAccessPermission="edit"/>
    <arrUserId title="Диапазон5_36_1_2_2" rangeCreator="" othersAccessPermission="edit"/>
    <arrUserId title="Диапазон2_39_1_2_2" rangeCreator="" othersAccessPermission="edit"/>
    <arrUserId title="Диапазон2_48_1_1" rangeCreator="" othersAccessPermission="edit"/>
    <arrUserId title="Диапазон2_44_2_1_1" rangeCreator="" othersAccessPermission="edit"/>
    <arrUserId title="Диапазон5_36_1_2_1_1" rangeCreator="" othersAccessPermission="edit"/>
    <arrUserId title="Диапазон2_39_1_2_1_1" rangeCreator="" othersAccessPermission="edit"/>
    <arrUserId title="Диапазон5_36_2" rangeCreator="" othersAccessPermission="edit"/>
    <arrUserId title="Диапазон2_37_1" rangeCreator="" othersAccessPermission="edit"/>
    <arrUserId title="Диапазон5_42_2" rangeCreator="" othersAccessPermission="edit"/>
    <arrUserId title="Диапазон2_52_2" rangeCreator="" othersAccessPermission="edit"/>
    <arrUserId title="Диапазон5_21_2" rangeCreator="" othersAccessPermission="edit"/>
    <arrUserId title="Диапазон2_23_2" rangeCreator="" othersAccessPermission="edit"/>
    <arrUserId title="Диапазон5_46_1" rangeCreator="" othersAccessPermission="edit"/>
    <arrUserId title="Диапазон2_56_1" rangeCreator="" othersAccessPermission="edit"/>
    <arrUserId title="Диапазон5_47_1" rangeCreator="" othersAccessPermission="edit"/>
    <arrUserId title="Диапазон2_57_1" rangeCreator="" othersAccessPermission="edit"/>
    <arrUserId title="Диапазон5_1_1" rangeCreator="" othersAccessPermission="edit"/>
    <arrUserId title="Диапазон2_1_1" rangeCreator="" othersAccessPermission="edit"/>
    <arrUserId title="Диапазон5_26_1_1" rangeCreator="" othersAccessPermission="edit"/>
    <arrUserId title="Диапазон2_28_1_1" rangeCreator="" othersAccessPermission="edit"/>
    <arrUserId title="Диапазон5_27_1_2" rangeCreator="" othersAccessPermission="edit"/>
    <arrUserId title="Диапазон2_29_1_2" rangeCreator="" othersAccessPermission="edit"/>
    <arrUserId title="Диапазон5_5_1" rangeCreator="" othersAccessPermission="edit"/>
    <arrUserId title="Диапазон2_5_1" rangeCreator="" othersAccessPermission="edit"/>
    <arrUserId title="Диапазон5_48_1_1" rangeCreator="" othersAccessPermission="edit"/>
    <arrUserId title="Диапазон2_51_1_1" rangeCreator="" othersAccessPermission="edit"/>
    <arrUserId title="Диапазон5_51_1_1" rangeCreator="" othersAccessPermission="edit"/>
    <arrUserId title="Диапазон2_54_1_1" rangeCreator="" othersAccessPermission="edit"/>
    <arrUserId title="Диапазон5_52_1_1" rangeCreator="" othersAccessPermission="edit"/>
    <arrUserId title="Диапазон2_55_1_1" rangeCreator="" othersAccessPermission="edit"/>
    <arrUserId title="Диапазон5_55_1_1" rangeCreator="" othersAccessPermission="edit"/>
    <arrUserId title="Диапазон2_58_1_1" rangeCreator="" othersAccessPermission="edit"/>
    <arrUserId title="Диапазон5_27_2_1" rangeCreator="" othersAccessPermission="edit"/>
    <arrUserId title="Диапазон2_18_2_1" rangeCreator="" othersAccessPermission="edit"/>
    <arrUserId title="Диапазон5_40_1_1_1" rangeCreator="" othersAccessPermission="edit"/>
    <arrUserId title="Диапазон2_43_1_1_1" rangeCreator="" othersAccessPermission="edit"/>
    <arrUserId title="Диапазон5_22_1" rangeCreator="" othersAccessPermission="edit"/>
    <arrUserId title="Диапазон2_18_3" rangeCreator="" othersAccessPermission="edit"/>
    <arrUserId title="Диапазон5_16_2" rangeCreator="" othersAccessPermission="edit"/>
    <arrUserId title="Диапазон2_16_2" rangeCreator="" othersAccessPermission="edit"/>
    <arrUserId title="Диапазон5_25_1_1_1" rangeCreator="" othersAccessPermission="edit"/>
    <arrUserId title="Диапазон2_27_1_1_1" rangeCreator="" othersAccessPermission="edit"/>
    <arrUserId title="Диапазон5_37_1" rangeCreator="" othersAccessPermission="edit"/>
    <arrUserId title="Диапазон2_40_1" rangeCreator="" othersAccessPermission="edit"/>
    <arrUserId title="Диапазон5_38_2" rangeCreator="" othersAccessPermission="edit"/>
    <arrUserId title="Диапазон2_41_2" rangeCreator="" othersAccessPermission="edit"/>
    <arrUserId title="Диапазон2_45_1" rangeCreator="" othersAccessPermission="edit"/>
    <arrUserId title="Диапазон5_43_1" rangeCreator="" othersAccessPermission="edit"/>
    <arrUserId title="Диапазон2_46_1" rangeCreator="" othersAccessPermission="edit"/>
    <arrUserId title="Диапазон5_38_1_1" rangeCreator="" othersAccessPermission="edit"/>
    <arrUserId title="Диапазон2_41_1_1" rangeCreator="" othersAccessPermission="edit"/>
    <arrUserId title="Диапазон5_16_1_1" rangeCreator="" othersAccessPermission="edit"/>
    <arrUserId title="Диапазон2_16_1_1" rangeCreator="" othersAccessPermission="edit"/>
    <arrUserId title="Диапазон5_27_3" rangeCreator="" othersAccessPermission="edit"/>
    <arrUserId title="Диапазон2_20_5" rangeCreator="" othersAccessPermission="edit"/>
    <arrUserId title="Диапазон3_1_1" rangeCreator="" othersAccessPermission="edit"/>
    <arrUserId title="Диапазон2_14_3_1_3_1_1" rangeCreator="" othersAccessPermission="edit"/>
    <arrUserId title="Диапазон5_14_3_1_3_1_1" rangeCreator="" othersAccessPermission="edit"/>
    <arrUserId title="Диапазон2_14_4_1_3_1_1" rangeCreator="" othersAccessPermission="edit"/>
    <arrUserId title="Диапазон5_27_1_1_1_1_1_1_1_1_1" rangeCreator="" othersAccessPermission="edit"/>
    <arrUserId title="Диапазон2_29_1_1_1_1_1_1_1_1_1" rangeCreator="" othersAccessPermission="edit"/>
    <arrUserId title="Диапазон3_2_1" rangeCreator="" othersAccessPermission="edit"/>
    <arrUserId title="Диапазон5_5_2_1" rangeCreator="" othersAccessPermission="edit"/>
    <arrUserId title="Диапазон2_5_2_1" rangeCreator="" othersAccessPermission="edit"/>
    <arrUserId title="Диапазон2_31_1_1_1_1" rangeCreator="" othersAccessPermission="edit"/>
    <arrUserId title="Диапазон5_29_1_1_1_1" rangeCreator="" othersAccessPermission="edit"/>
    <arrUserId title="Диапазон2_32_1_1_1_1" rangeCreator="" othersAccessPermission="edit"/>
    <arrUserId title="Диапазон5_5_4_1" rangeCreator="" othersAccessPermission="edit"/>
    <arrUserId title="Диапазон2_5_4_1" rangeCreator="" othersAccessPermission="edit"/>
    <arrUserId title="Диапазон2_14_3_2_2_1" rangeCreator="" othersAccessPermission="edit"/>
    <arrUserId title="Диапазон5_27_1_1_1_2_2_1" rangeCreator="" othersAccessPermission="edit"/>
    <arrUserId title="Диапазон2_29_1_1_1_2_2_1" rangeCreator="" othersAccessPermission="edit"/>
    <arrUserId title="Диапазон5_14_3_2_2_1" rangeCreator="" othersAccessPermission="edit"/>
    <arrUserId title="Диапазон2_14_4_2_2_1" rangeCreator="" othersAccessPermission="edit"/>
    <arrUserId title="Диапазон5_40_1" rangeCreator="" othersAccessPermission="edit"/>
    <arrUserId title="Диапазон2_24_1" rangeCreator="" othersAccessPermission="edit"/>
    <arrUserId title="Диапазон5_42_1_1" rangeCreator="" othersAccessPermission="edit"/>
    <arrUserId title="Диапазон2_52_1_1" rangeCreator="" othersAccessPermission="edit"/>
    <arrUserId title="Диапазон5_39_1_1" rangeCreator="" othersAccessPermission="edit"/>
    <arrUserId title="Диапазон2_42_1_1" rangeCreator="" othersAccessPermission="edit"/>
    <arrUserId title="Диапазон5_27_1_1" rangeCreator="" othersAccessPermission="edit"/>
    <arrUserId title="Диапазон2_20_2_1" rangeCreator="" othersAccessPermission="edit"/>
    <arrUserId title="Диапазон5_5_4_1_1" rangeCreator="" othersAccessPermission="edit"/>
    <arrUserId title="Диапазон2_5_4_1_1" rangeCreator="" othersAccessPermission="edit"/>
    <arrUserId title="Диапазон5_2_1" rangeCreator="" othersAccessPermission="edit"/>
    <arrUserId title="Диапазон2_2_1" rangeCreator="" othersAccessPermission="edit"/>
    <arrUserId title="Диапазон5_2_2" rangeCreator="" othersAccessPermission="edit"/>
    <arrUserId title="Диапазон2_2_2" rangeCreator="" othersAccessPermission="edit"/>
    <arrUserId title="Диапазон5_2_1_1" rangeCreator="" othersAccessPermission="edit"/>
    <arrUserId title="Диапазон2_2_1_1" rangeCreator="" othersAccessPermission="edit"/>
    <arrUserId title="Диапазон5_2_3" rangeCreator="" othersAccessPermission="edit"/>
    <arrUserId title="Диапазон2_2_3" rangeCreator="" othersAccessPermission="edit"/>
    <arrUserId title="Диапазон5_2_1_2" rangeCreator="" othersAccessPermission="edit"/>
    <arrUserId title="Диапазон2_2_1_2" rangeCreator="" othersAccessPermission="edit"/>
    <arrUserId title="Диапазон5_2_1_2_1" rangeCreator="" othersAccessPermission="edit"/>
    <arrUserId title="Диапазон2_2_1_2_1" rangeCreator="" othersAccessPermission="edit"/>
    <arrUserId title="Диапазон5_2_4" rangeCreator="" othersAccessPermission="edit"/>
    <arrUserId title="Диапазон2_2_4" rangeCreator="" othersAccessPermission="edit"/>
    <arrUserId title="Диапазон5_2_4_1" rangeCreator="" othersAccessPermission="edit"/>
    <arrUserId title="Диапазон2_2_4_1" rangeCreator="" othersAccessPermission="edit"/>
    <arrUserId title="Диапазон5_22_1_1" rangeCreator="" othersAccessPermission="edit"/>
    <arrUserId title="Диапазон2_18_3_1" rangeCreator="" othersAccessPermission="edit"/>
    <arrUserId title="Диапазон5_2_4_1_1" rangeCreator="" othersAccessPermission="edit"/>
    <arrUserId title="Диапазон2_2_4_1_1" rangeCreator="" othersAccessPermission="edit"/>
    <arrUserId title="Диапазон5_22_1_2" rangeCreator="" othersAccessPermission="edit"/>
    <arrUserId title="Диапазон2_18_3_2" rangeCreator="" othersAccessPermission="edit"/>
    <arrUserId title="Диапазон5_2_4_1_2" rangeCreator="" othersAccessPermission="edit"/>
    <arrUserId title="Диапазон2_2_4_1_2" rangeCreator="" othersAccessPermission="edit"/>
    <arrUserId title="Диапазон5_42_1_1_1" rangeCreator="" othersAccessPermission="edit"/>
    <arrUserId title="Диапазон2_52_1_1_1" rangeCreator="" othersAccessPermission="edit"/>
  </rangeList>
  <rangeList sheetStid="60" master="" otherUserPermission="visible"/>
  <rangeList sheetStid="95" master="" otherUserPermission="visible">
    <arrUserId title="Диапазон3_1" rangeCreator="" othersAccessPermission="edit"/>
  </rangeList>
  <rangeList sheetStid="86" master="" otherUserPermission="visible">
    <arrUserId title="Диапазон5" rangeCreator="" othersAccessPermission="edit"/>
    <arrUserId title="Диапазон2" rangeCreator="" othersAccessPermission="edit"/>
    <arrUserId title="Диапазон5_4" rangeCreator="" othersAccessPermission="edit"/>
    <arrUserId title="Диапазон2_4" rangeCreator="" othersAccessPermission="edit"/>
    <arrUserId title="Диапазон5_2" rangeCreator="" othersAccessPermission="edit"/>
    <arrUserId title="Диапазон2_2" rangeCreator="" othersAccessPermission="edit"/>
    <arrUserId title="Диапазон5_3" rangeCreator="" othersAccessPermission="edit"/>
    <arrUserId title="Диапазон2_3" rangeCreator="" othersAccessPermission="edit"/>
    <arrUserId title="Диапазон5_1" rangeCreator="" othersAccessPermission="edit"/>
    <arrUserId title="Диапазон2_1" rangeCreator="" othersAccessPermission="edit"/>
    <arrUserId title="Диапазон5_6" rangeCreator="" othersAccessPermission="edit"/>
    <arrUserId title="Диапазон2_6" rangeCreator="" othersAccessPermission="edit"/>
    <arrUserId title="Диапазон5_7" rangeCreator="" othersAccessPermission="edit"/>
    <arrUserId title="Диапазон2_7" rangeCreator="" othersAccessPermission="edit"/>
    <arrUserId title="Диапазон5_9" rangeCreator="" othersAccessPermission="edit"/>
    <arrUserId title="Диапазон2_9" rangeCreator="" othersAccessPermission="edit"/>
    <arrUserId title="Диапазон5_10" rangeCreator="" othersAccessPermission="edit"/>
    <arrUserId title="Диапазон2_10" rangeCreator="" othersAccessPermission="edit"/>
    <arrUserId title="Диапазон5_11" rangeCreator="" othersAccessPermission="edit"/>
    <arrUserId title="Диапазон2_11" rangeCreator="" othersAccessPermission="edit"/>
    <arrUserId title="Диапазон5_12" rangeCreator="" othersAccessPermission="edit"/>
    <arrUserId title="Диапазон2_12" rangeCreator="" othersAccessPermission="edit"/>
    <arrUserId title="Диапазон5_5" rangeCreator="" othersAccessPermission="edit"/>
    <arrUserId title="Диапазон2_5" rangeCreator="" othersAccessPermission="edit"/>
  </rangeList>
  <rangeList sheetStid="82" master="" otherUserPermission="visible">
    <arrUserId title="Диапазон3_2" rangeCreator="" othersAccessPermission="edit"/>
    <arrUserId title="Диапазон5" rangeCreator="" othersAccessPermission="edit"/>
    <arrUserId title="Диапазон2" rangeCreator="" othersAccessPermission="edit"/>
    <arrUserId title="Диапазон5_2" rangeCreator="" othersAccessPermission="edit"/>
    <arrUserId title="Диапазон2_1" rangeCreator="" othersAccessPermission="edit"/>
    <arrUserId title="Диапазон5_2_1" rangeCreator="" othersAccessPermission="edit"/>
    <arrUserId title="Диапазон2_1_1" rangeCreator="" othersAccessPermission="edit"/>
    <arrUserId title="Диапазон5_2_2" rangeCreator="" othersAccessPermission="edit"/>
    <arrUserId title="Диапазон2_1_2" rangeCreator="" othersAccessPermission="edit"/>
    <arrUserId title="Диапазон5_1" rangeCreator="" othersAccessPermission="edit"/>
    <arrUserId title="Диапазон2_2" rangeCreator="" othersAccessPermission="edit"/>
    <arrUserId title="Диапазон5_1_2" rangeCreator="" othersAccessPermission="edit"/>
    <arrUserId title="Диапазон2_1_4" rangeCreator="" othersAccessPermission="edit"/>
    <arrUserId title="Диапазон5_1_13" rangeCreator="" othersAccessPermission="edit"/>
    <arrUserId title="Диапазон2_1_15" rangeCreator="" othersAccessPermission="edit"/>
    <arrUserId title="Диапазон5_3" rangeCreator="" othersAccessPermission="edit"/>
    <arrUserId title="Диапазон2_3" rangeCreator="" othersAccessPermission="edit"/>
    <arrUserId title="Диапазон5_1_4" rangeCreator="" othersAccessPermission="edit"/>
    <arrUserId title="Диапазон2_1_6" rangeCreator="" othersAccessPermission="edit"/>
    <arrUserId title="Диапазон5_1_1_1" rangeCreator="" othersAccessPermission="edit"/>
    <arrUserId title="Диапазон2_1_1_3" rangeCreator="" othersAccessPermission="edit"/>
    <arrUserId title="Диапазон5_3_1" rangeCreator="" othersAccessPermission="edit"/>
    <arrUserId title="Диапазон2_3_1" rangeCreator="" othersAccessPermission="edit"/>
    <arrUserId title="Диапазон2_2_1_1" rangeCreator="" othersAccessPermission="edit"/>
    <arrUserId title="Диапазон5_1_1_1_1" rangeCreator="" othersAccessPermission="edit"/>
    <arrUserId title="Диапазон2_1_1_1_1" rangeCreator="" othersAccessPermission="edit"/>
    <arrUserId title="Диапазон5_4" rangeCreator="" othersAccessPermission="edit"/>
    <arrUserId title="Диапазон2_4" rangeCreator="" othersAccessPermission="edit"/>
    <arrUserId title="Диапазон2_1_1_1_1_1" rangeCreator="" othersAccessPermission="edit"/>
    <arrUserId title="Диапазон2_2_1_1_1_1" rangeCreator="" othersAccessPermission="edit"/>
    <arrUserId title="Диапазон2_1_1_1_1_1_1" rangeCreator="" othersAccessPermission="edit"/>
    <arrUserId title="Диапазон2_5" rangeCreator="" othersAccessPermission="edit"/>
    <arrUserId title="Диапазон2_1_1_1_1_2" rangeCreator="" othersAccessPermission="edit"/>
    <arrUserId title="Диапазон2_6" rangeCreator="" othersAccessPermission="edit"/>
    <arrUserId title="Диапазон2_7_1" rangeCreator="" othersAccessPermission="edit"/>
    <arrUserId title="Диапазон2_1_1_1_1_2_1_1" rangeCreator="" othersAccessPermission="edit"/>
    <arrUserId title="Диапазон2_7_2" rangeCreator="" othersAccessPermission="edit"/>
    <arrUserId title="Диапазон5_2_1_1_1_1" rangeCreator="" othersAccessPermission="edit"/>
    <arrUserId title="Диапазон2_2_1_1_1_2" rangeCreator="" othersAccessPermission="edit"/>
    <arrUserId title="Диапазон5_1_1_1_1_1" rangeCreator="" othersAccessPermission="edit"/>
    <arrUserId title="Диапазон2_1_1_1_1_3" rangeCreator="" othersAccessPermission="edit"/>
    <arrUserId title="Диапазон5_5" rangeCreator="" othersAccessPermission="edit"/>
    <arrUserId title="Диапазон2_9" rangeCreator="" othersAccessPermission="edit"/>
    <arrUserId title="Диапазон5_2_1_1_1_2" rangeCreator="" othersAccessPermission="edit"/>
    <arrUserId title="Диапазон2_2_1_1_1_3" rangeCreator="" othersAccessPermission="edit"/>
    <arrUserId title="Диапазон5_1_1_1_1_2" rangeCreator="" othersAccessPermission="edit"/>
    <arrUserId title="Диапазон2_1_1_1_1_4" rangeCreator="" othersAccessPermission="edit"/>
    <arrUserId title="Диапазон5_6" rangeCreator="" othersAccessPermission="edit"/>
    <arrUserId title="Диапазон2_10" rangeCreator="" othersAccessPermission="edit"/>
    <arrUserId title="Диапазон2_6_2" rangeCreator="" othersAccessPermission="edit"/>
    <arrUserId title="Диапазон5_6_2" rangeCreator="" othersAccessPermission="edit"/>
    <arrUserId title="Диапазон2_10_1" rangeCreator="" othersAccessPermission="edit"/>
    <arrUserId title="Диапазон5_2_1_1_1_2_1" rangeCreator="" othersAccessPermission="edit"/>
    <arrUserId title="Диапазон2_2_1_1_1_3_1" rangeCreator="" othersAccessPermission="edit"/>
    <arrUserId title="Диапазон2_1_1_1_1_2_2" rangeCreator="" othersAccessPermission="edit"/>
    <arrUserId title="Диапазон5_1_1_1_1_2_2" rangeCreator="" othersAccessPermission="edit"/>
    <arrUserId title="Диапазон2_1_1_1_1_4_1" rangeCreator="" othersAccessPermission="edit"/>
    <arrUserId title="Диапазон5_9" rangeCreator="" othersAccessPermission="edit"/>
    <arrUserId title="Диапазон2_11" rangeCreator="" othersAccessPermission="edit"/>
    <arrUserId title="Диапазон5_9_1" rangeCreator="" othersAccessPermission="edit"/>
    <arrUserId title="Диапазон2_11_1" rangeCreator="" othersAccessPermission="edit"/>
    <arrUserId title="Диапазон5_9_1_1" rangeCreator="" othersAccessPermission="edit"/>
    <arrUserId title="Диапазон2_11_1_1" rangeCreator="" othersAccessPermission="edit"/>
    <arrUserId title="Диапазон5_2_1_1_1_2_1_1" rangeCreator="" othersAccessPermission="edit"/>
    <arrUserId title="Диапазон2_2_1_1_1_3_1_1" rangeCreator="" othersAccessPermission="edit"/>
    <arrUserId title="Диапазон2_1_1_1_1_2_2_1" rangeCreator="" othersAccessPermission="edit"/>
    <arrUserId title="Диапазон5_1_1_1_1_2_2_1" rangeCreator="" othersAccessPermission="edit"/>
    <arrUserId title="Диапазон2_1_1_1_1_4_1_1" rangeCreator="" othersAccessPermission="edit"/>
    <arrUserId title="Диапазон5_10" rangeCreator="" othersAccessPermission="edit"/>
    <arrUserId title="Диапазон2_12" rangeCreator="" othersAccessPermission="edit"/>
    <arrUserId title="Диапазон5_11" rangeCreator="" othersAccessPermission="edit"/>
    <arrUserId title="Диапазон2_13" rangeCreator="" othersAccessPermission="edit"/>
    <arrUserId title="Диапазон5_12" rangeCreator="" othersAccessPermission="edit"/>
    <arrUserId title="Диапазон2_14" rangeCreator="" othersAccessPermission="edit"/>
    <arrUserId title="Диапазон2_2_1_1_1_3_1_1_1" rangeCreator="" othersAccessPermission="edit"/>
    <arrUserId title="Диапазон2_1_1_1_1_2_2_1_1" rangeCreator="" othersAccessPermission="edit"/>
    <arrUserId title="Диапазон5_1_1_1_1_2_2_1_1" rangeCreator="" othersAccessPermission="edit"/>
    <arrUserId title="Диапазон2_1_1_1_1_4_1_1_1" rangeCreator="" othersAccessPermission="edit"/>
    <arrUserId title="Диапазон5_13" rangeCreator="" othersAccessPermission="edit"/>
    <arrUserId title="Диапазон2_15" rangeCreator="" othersAccessPermission="edit"/>
    <arrUserId title="Диапазон2_2_1_1_1_3_1_1_1_1" rangeCreator="" othersAccessPermission="edit"/>
    <arrUserId title="Диапазон2_1_1_1_1_2_2_1_1_1" rangeCreator="" othersAccessPermission="edit"/>
    <arrUserId title="Диапазон5_1_1_1_1_2_2_1_1_1" rangeCreator="" othersAccessPermission="edit"/>
    <arrUserId title="Диапазон2_1_1_1_1_4_1_1_1_1" rangeCreator="" othersAccessPermission="edit"/>
    <arrUserId title="Диапазон5_2_1_1_1_2_1_1_1_2" rangeCreator="" othersAccessPermission="edit"/>
    <arrUserId title="Диапазон2_2_1_1_1_3_1_1_1_2" rangeCreator="" othersAccessPermission="edit"/>
    <arrUserId title="Диапазон5_14" rangeCreator="" othersAccessPermission="edit"/>
    <arrUserId title="Диапазон2_16" rangeCreator="" othersAccessPermission="edit"/>
    <arrUserId title="Диапазон5_2_1_1_1_2_1_1_1_1_1" rangeCreator="" othersAccessPermission="edit"/>
    <arrUserId title="Диапазон2_2_1_1_1_3_1_1_1_1_1" rangeCreator="" othersAccessPermission="edit"/>
    <arrUserId title="Диапазон2_1_1_1_1_2_2_1_1_1_1" rangeCreator="" othersAccessPermission="edit"/>
    <arrUserId title="Диапазон5_1_1_1_1_2_2_1_1_1_1" rangeCreator="" othersAccessPermission="edit"/>
    <arrUserId title="Диапазон2_1_1_1_1_4_1_1_1_1_1" rangeCreator="" othersAccessPermission="edit"/>
    <arrUserId title="Диапазон5_2_1_1_1_2_1_1_1_2_1" rangeCreator="" othersAccessPermission="edit"/>
    <arrUserId title="Диапазон2_2_1_1_1_3_1_1_1_2_1" rangeCreator="" othersAccessPermission="edit"/>
    <arrUserId title="Диапазон5_16" rangeCreator="" othersAccessPermission="edit"/>
    <arrUserId title="Диапазон2_18" rangeCreator="" othersAccessPermission="edit"/>
    <arrUserId title="Диапазон5_17" rangeCreator="" othersAccessPermission="edit"/>
    <arrUserId title="Диапазон2_19" rangeCreator="" othersAccessPermission="edit"/>
    <arrUserId title="Диапазон5_18" rangeCreator="" othersAccessPermission="edit"/>
    <arrUserId title="Диапазон2_20" rangeCreator="" othersAccessPermission="edit"/>
    <arrUserId title="Диапазон5_19" rangeCreator="" othersAccessPermission="edit"/>
    <arrUserId title="Диапазон2_21" rangeCreator="" othersAccessPermission="edit"/>
    <arrUserId title="Диапазон5_20" rangeCreator="" othersAccessPermission="edit"/>
    <arrUserId title="Диапазон2_22" rangeCreator="" othersAccessPermission="edit"/>
    <arrUserId title="Диапазон5_2_1_1_1_2_1_1_1_2_1_1" rangeCreator="" othersAccessPermission="edit"/>
    <arrUserId title="Диапазон2_2_1_1_1_3_1_1_1_2_1_1" rangeCreator="" othersAccessPermission="edit"/>
    <arrUserId title="Диапазон2_1_1_1_1_2_2_1_1_1_1_1" rangeCreator="" othersAccessPermission="edit"/>
    <arrUserId title="Диапазон5_1_1_1_1_2_2_1_1_1_1_1" rangeCreator="" othersAccessPermission="edit"/>
    <arrUserId title="Диапазон2_1_1_1_1_4_1_1_1_1_1_1" rangeCreator="" othersAccessPermission="edit"/>
    <arrUserId title="Диапазон5_16_1" rangeCreator="" othersAccessPermission="edit"/>
    <arrUserId title="Диапазон2_18_1" rangeCreator="" othersAccessPermission="edit"/>
    <arrUserId title="Диапазон2_2_1_1_1_3_1_1_1_1_1_1_1" rangeCreator="" othersAccessPermission="edit"/>
    <arrUserId title="Диапазон5_21" rangeCreator="" othersAccessPermission="edit"/>
    <arrUserId title="Диапазон2_23" rangeCreator="" othersAccessPermission="edit"/>
    <arrUserId title="Диапазон2_1_1_1_1_2_2_1_1_1_1_1_1" rangeCreator="" othersAccessPermission="edit"/>
    <arrUserId title="Диапазон5_1_1_1_1_2_2_1_1_1_1_1_1" rangeCreator="" othersAccessPermission="edit"/>
    <arrUserId title="Диапазон2_1_1_1_1_4_1_1_1_1_1_1_1" rangeCreator="" othersAccessPermission="edit"/>
    <arrUserId title="Диапазон5_2_1_1_1_2_1_1_1_1_1_1_1_1" rangeCreator="" othersAccessPermission="edit"/>
    <arrUserId title="Диапазон2_2_1_1_1_3_1_1_1_1_1_1_2_1" rangeCreator="" othersAccessPermission="edit"/>
    <arrUserId title="Диапазон2_1_1_1_1_2_2_1_1_1_1_1_1_1" rangeCreator="" othersAccessPermission="edit"/>
    <arrUserId title="Диапазон5_1_1_1_1_2_2_1_1_1_1_1_1_1" rangeCreator="" othersAccessPermission="edit"/>
    <arrUserId title="Диапазон2_1_1_1_1_4_1_1_1_1_1_1_1_1" rangeCreator="" othersAccessPermission="edit"/>
    <arrUserId title="Диапазон5_22" rangeCreator="" othersAccessPermission="edit"/>
    <arrUserId title="Диапазон2_24" rangeCreator="" othersAccessPermission="edit"/>
    <arrUserId title="Диапазон5_23" rangeCreator="" othersAccessPermission="edit"/>
    <arrUserId title="Диапазон2_25" rangeCreator="" othersAccessPermission="edit"/>
    <arrUserId title="Диапазон5_23_1" rangeCreator="" othersAccessPermission="edit"/>
    <arrUserId title="Диапазон2_25_1" rangeCreator="" othersAccessPermission="edit"/>
    <arrUserId title="Диапазон5_21_1" rangeCreator="" othersAccessPermission="edit"/>
    <arrUserId title="Диапазон2_23_1" rangeCreator="" othersAccessPermission="edit"/>
    <arrUserId title="Диапазон2_2_2_1_1" rangeCreator="" othersAccessPermission="edit"/>
    <arrUserId title="Диапазон5_7" rangeCreator="" othersAccessPermission="edit"/>
    <arrUserId title="Диапазон2_26" rangeCreator="" othersAccessPermission="edit"/>
    <arrUserId title="Диапазон5_22_1" rangeCreator="" othersAccessPermission="edit"/>
    <arrUserId title="Диапазон2_24_1" rangeCreator="" othersAccessPermission="edit"/>
    <arrUserId title="Диапазон5_8" rangeCreator="" othersAccessPermission="edit"/>
    <arrUserId title="Диапазон2_27" rangeCreator="" othersAccessPermission="edit"/>
    <arrUserId title="Диапазон5_24" rangeCreator="" othersAccessPermission="edit"/>
    <arrUserId title="Диапазон2_28" rangeCreator="" othersAccessPermission="edit"/>
    <arrUserId title="Диапазон5_25" rangeCreator="" othersAccessPermission="edit"/>
    <arrUserId title="Диапазон2_29" rangeCreator="" othersAccessPermission="edit"/>
    <arrUserId title="Диапазон2_2_1_1_1_3_1_1_1_1_1_1_2_1_1" rangeCreator="" othersAccessPermission="edit"/>
    <arrUserId title="Диапазон2_1_1_1_1_2_2_1_1_1_1_1_1_1_1" rangeCreator="" othersAccessPermission="edit"/>
    <arrUserId title="Диапазон5_1_1_1_1_2_2_1_1_1_1_1_1_1_1" rangeCreator="" othersAccessPermission="edit"/>
    <arrUserId title="Диапазон2_1_1_1_1_4_1_1_1_1_1_1_1_1_1" rangeCreator="" othersAccessPermission="edit"/>
    <arrUserId title="Диапазон5_7_3_1" rangeCreator="" othersAccessPermission="edit"/>
    <arrUserId title="Диапазон2_7_3_1" rangeCreator="" othersAccessPermission="edit"/>
    <arrUserId title="Диапазон5_26" rangeCreator="" othersAccessPermission="edit"/>
    <arrUserId title="Диапазон2_30" rangeCreator="" othersAccessPermission="edit"/>
    <arrUserId title="Диапазон5_2_1_1_1_1_1" rangeCreator="" othersAccessPermission="edit"/>
    <arrUserId title="Диапазон2_2_1_1_1_1_2" rangeCreator="" othersAccessPermission="edit"/>
    <arrUserId title="Диапазон5_2_1_1_1_1_2" rangeCreator="" othersAccessPermission="edit"/>
    <arrUserId title="Диапазон2_2_1_1_1_2_2" rangeCreator="" othersAccessPermission="edit"/>
    <arrUserId title="Диапазон2_1_1_1_1_5" rangeCreator="" othersAccessPermission="edit"/>
    <arrUserId title="Диапазон2_7_3_1_1" rangeCreator="" othersAccessPermission="edit"/>
    <arrUserId title="Диапазон2_31" rangeCreator="" othersAccessPermission="edit"/>
    <arrUserId title="Диапазон2_1_1_1_1_6" rangeCreator="" othersAccessPermission="edit"/>
    <arrUserId title="Диапазон2_2_1_1_1_5_1" rangeCreator="" othersAccessPermission="edit"/>
    <arrUserId title="Диапазон5_1_1_1_1_4_1" rangeCreator="" othersAccessPermission="edit"/>
    <arrUserId title="Диапазон2_1_1_1_1_6_1" rangeCreator="" othersAccessPermission="edit"/>
    <arrUserId title="Диапазон5_2_1_1_1_2_1_1_1_1_1_1_1_1_1_1_4" rangeCreator="" othersAccessPermission="edit"/>
    <arrUserId title="Диапазон2_2_1_1_1_3_1_1_1_1_1_1_2_1_1_1_4" rangeCreator="" othersAccessPermission="edit"/>
    <arrUserId title="Диапазон5_2_1_1_1_2_1_1_1_1_1_1_1_1_1_1_5" rangeCreator="" othersAccessPermission="edit"/>
    <arrUserId title="Диапазон2_2_1_1_1_3_1_1_1_1_1_1_2_1_1_1_5" rangeCreator="" othersAccessPermission="edit"/>
    <arrUserId title="Диапазон5_2_1_1_1_2_1_1_1_1_1_1_1_1_1_1_6" rangeCreator="" othersAccessPermission="edit"/>
    <arrUserId title="Диапазон2_2_1_1_1_3_1_1_1_1_1_1_2_1_1_1_6" rangeCreator="" othersAccessPermission="edit"/>
    <arrUserId title="Диапазон2_1_1_1_1_2_2_1_1_1_1_1_1_1_1_1" rangeCreator="" othersAccessPermission="edit"/>
    <arrUserId title="Диапазон5_1_1_1_1_2_2_1_1_1_1_1_1_1_1_2" rangeCreator="" othersAccessPermission="edit"/>
    <arrUserId title="Диапазон2_1_1_1_1_4_1_1_1_1_1_1_1_1_1_1" rangeCreator="" othersAccessPermission="edit"/>
    <arrUserId title="Диапазон5_28" rangeCreator="" othersAccessPermission="edit"/>
    <arrUserId title="Диапазон2_8" rangeCreator="" othersAccessPermission="edit"/>
    <arrUserId title="Диапазон2_2_2_2" rangeCreator="" othersAccessPermission="edit"/>
    <arrUserId title="Диапазон2_2_2_1" rangeCreator="" othersAccessPermission="edit"/>
    <arrUserId title="Диапазон5_2_2_1_1" rangeCreator="" othersAccessPermission="edit"/>
    <arrUserId title="Диапазон2_2_2_2_1" rangeCreator="" othersAccessPermission="edit"/>
    <arrUserId title="Диапазон2_2_2_1_2" rangeCreator="" othersAccessPermission="edit"/>
    <arrUserId title="Диапазон5_2_2_1_1_1" rangeCreator="" othersAccessPermission="edit"/>
    <arrUserId title="Диапазон2_2_2_2_2" rangeCreator="" othersAccessPermission="edit"/>
    <arrUserId title="Диапазон5_2_2_2" rangeCreator="" othersAccessPermission="edit"/>
    <arrUserId title="Диапазон2_2_2_3" rangeCreator="" othersAccessPermission="edit"/>
    <arrUserId title="Диапазон5_2_1_1_1_2_1_1_1_1_1_1_1_1_1" rangeCreator="" othersAccessPermission="edit"/>
    <arrUserId title="Диапазон2_2_1_1_1_3_1_1_1_1_1_1_2_1_3" rangeCreator="" othersAccessPermission="edit"/>
    <arrUserId title="Диапазон5_29" rangeCreator="" othersAccessPermission="edit"/>
    <arrUserId title="Диапазон2_34" rangeCreator="" othersAccessPermission="edit"/>
    <arrUserId title="Диапазон5_30" rangeCreator="" othersAccessPermission="edit"/>
    <arrUserId title="Диапазон2_35" rangeCreator="" othersAccessPermission="edit"/>
    <arrUserId title="Диапазон5_31" rangeCreator="" othersAccessPermission="edit"/>
    <arrUserId title="Диапазон2_36" rangeCreator="" othersAccessPermission="edit"/>
    <arrUserId title="Диапазон5_2_1_1_1_2_1_1_1_1_1_1_1_1_2" rangeCreator="" othersAccessPermission="edit"/>
    <arrUserId title="Диапазон2_2_1_1_1_3_1_1_1_1_1_1_2_1_4" rangeCreator="" othersAccessPermission="edit"/>
    <arrUserId title="Диапазон5_30_1" rangeCreator="" othersAccessPermission="edit"/>
    <arrUserId title="Диапазон2_35_1" rangeCreator="" othersAccessPermission="edit"/>
    <arrUserId title="Диапазон2_2_1_1_1_3_1_1_1_1_1_1_2_1_3_1" rangeCreator="" othersAccessPermission="edit"/>
    <arrUserId title="Диапазон5_2_1_1_1_2_1_1_1_1_1_1_1_1_1_2" rangeCreator="" othersAccessPermission="edit"/>
    <arrUserId title="Диапазон2_2_1_1_1_3_1_1_1_1_1_1_2_1_3_2" rangeCreator="" othersAccessPermission="edit"/>
    <arrUserId title="Диапазон2_2_1_1_1_3_1_1_1_1_1_1_2_1_3_1_1" rangeCreator="" othersAccessPermission="edit"/>
    <arrUserId title="Диапазон5_2_1_1_1_2_1_1_1_1_1_1_1_1_1_2_1" rangeCreator="" othersAccessPermission="edit"/>
    <arrUserId title="Диапазон2_2_1_1_1_3_1_1_1_1_1_1_2_1_3_2_1" rangeCreator="" othersAccessPermission="edit"/>
    <arrUserId title="Диапазон2_2_1_1_1_3_1_1_1_1_1_1_2_2" rangeCreator="" othersAccessPermission="edit"/>
    <arrUserId title="Диапазон2_2_1_1_1_3_1_1_1_1_1_1_2_3" rangeCreator="" othersAccessPermission="edit"/>
    <arrUserId title="Диапазон2_2_1_1_1_3_1_1_1_1_1_1_2_4" rangeCreator="" othersAccessPermission="edit"/>
    <arrUserId title="Диапазон2_2_1_1_1_3_1_1_1_1_1_1_2_5" rangeCreator="" othersAccessPermission="edit"/>
    <arrUserId title="Диапазон5_2_1_1_1_2_1_1_1_1_1_1_1_1_1_1" rangeCreator="" othersAccessPermission="edit"/>
    <arrUserId title="Диапазон2_2_1_1_1_3_1_1_1_1_1_1_2_1_3_3" rangeCreator="" othersAccessPermission="edit"/>
    <arrUserId title="Диапазон5_32" rangeCreator="" othersAccessPermission="edit"/>
    <arrUserId title="Диапазон2_37" rangeCreator="" othersAccessPermission="edit"/>
    <arrUserId title="Диапазон5_32_1" rangeCreator="" othersAccessPermission="edit"/>
    <arrUserId title="Диапазон2_37_1" rangeCreator="" othersAccessPermission="edit"/>
    <arrUserId title="Диапазон5_32_1_1" rangeCreator="" othersAccessPermission="edit"/>
    <arrUserId title="Диапазон2_37_1_1" rangeCreator="" othersAccessPermission="edit"/>
    <arrUserId title="Диапазон5_32_1_1_1" rangeCreator="" othersAccessPermission="edit"/>
    <arrUserId title="Диапазон2_37_1_1_1" rangeCreator="" othersAccessPermission="edit"/>
    <arrUserId title="Диапазон5_32_1_1_1_1" rangeCreator="" othersAccessPermission="edit"/>
    <arrUserId title="Диапазон2_37_1_1_1_1" rangeCreator="" othersAccessPermission="edit"/>
    <arrUserId title="Диапазон5_32_1_1_1_2" rangeCreator="" othersAccessPermission="edit"/>
    <arrUserId title="Диапазон2_37_1_1_1_2" rangeCreator="" othersAccessPermission="edit"/>
    <arrUserId title="Диапазон5_17_1" rangeCreator="" othersAccessPermission="edit"/>
    <arrUserId title="Диапазон2_19_1" rangeCreator="" othersAccessPermission="edit"/>
    <arrUserId title="Диапазон5_3_2" rangeCreator="" othersAccessPermission="edit"/>
    <arrUserId title="Диапазон2_9_1" rangeCreator="" othersAccessPermission="edit"/>
    <arrUserId title="Диапазон2_1_1_1_1_4_1_2" rangeCreator="" othersAccessPermission="edit"/>
    <arrUserId title="Диапазон2_2_1_1_1_3_1_1_2" rangeCreator="" othersAccessPermission="edit"/>
    <arrUserId title="Диапазон5_11_1" rangeCreator="" othersAccessPermission="edit"/>
    <arrUserId title="Диапазон5_14_1" rangeCreator="" othersAccessPermission="edit"/>
    <arrUserId title="Диапазон2_1_1_1_1_2_2_1_1_1_1_2" rangeCreator="" othersAccessPermission="edit"/>
    <arrUserId title="Диапазон2_20_1" rangeCreator="" othersAccessPermission="edit"/>
    <arrUserId title="Диапазон5_16_1_1" rangeCreator="" othersAccessPermission="edit"/>
    <arrUserId title="Диапазон2_25_2" rangeCreator="" othersAccessPermission="edit"/>
    <arrUserId title="Диапазон2_30_1" rangeCreator="" othersAccessPermission="edit"/>
    <arrUserId title="Диапазон2_7_3_1_1_1" rangeCreator="" othersAccessPermission="edit"/>
    <arrUserId title="Диапазон5_7_3_1_2_1" rangeCreator="" othersAccessPermission="edit"/>
    <arrUserId title="Диапазон2_1_1_1_1_2_2_1_1_1_1_1_1_1_1_1_1_2" rangeCreator="" othersAccessPermission="edit"/>
    <arrUserId title="Диапазон2_33_1" rangeCreator="" othersAccessPermission="edit"/>
    <arrUserId title="Диапазон2_1_1_1_1_4_1_1_1_1_1_1_1_1_2_1" rangeCreator="" othersAccessPermission="edit"/>
    <arrUserId title="Диапазон2_2_1_1_1_3_1_1_1_1_1_1_2_1_1_1_5_1" rangeCreator="" othersAccessPermission="edit"/>
    <arrUserId title="Диапазон2_1_1_1_1_6_1_1" rangeCreator="" othersAccessPermission="edit"/>
    <arrUserId title="Диапазон2_6_1" rangeCreator="" othersAccessPermission="edit"/>
    <arrUserId title="Диапазон5_1_1_1_1_2_1" rangeCreator="" othersAccessPermission="edit"/>
    <arrUserId title="Диапазон2_6_2_1" rangeCreator="" othersAccessPermission="edit"/>
    <arrUserId title="Диапазон5_1_2_1" rangeCreator="" othersAccessPermission="edit"/>
    <arrUserId title="Диапазон2_4_1" rangeCreator="" othersAccessPermission="edit"/>
    <arrUserId title="Диапазон2_5_1" rangeCreator="" othersAccessPermission="edit"/>
    <arrUserId title="Диапазон2_1_1_1_1_3_1" rangeCreator="" othersAccessPermission="edit"/>
    <arrUserId title="Диапазон2_1_1_1_1_4_2" rangeCreator="" othersAccessPermission="edit"/>
    <arrUserId title="Диапазон5_2_1_1_1_2_1_1_1" rangeCreator="" othersAccessPermission="edit"/>
    <arrUserId title="Диапазон2_1_1_1_1_4_1_1_2" rangeCreator="" othersAccessPermission="edit"/>
    <arrUserId title="Диапазон2_11_1_1_1" rangeCreator="" othersAccessPermission="edit"/>
    <arrUserId title="Диапазон5_10_1" rangeCreator="" othersAccessPermission="edit"/>
    <arrUserId title="Диапазон2_2_1_1_1_3_1_1_1_1_1_1" rangeCreator="" othersAccessPermission="edit"/>
    <arrUserId title="Диапазон5_14_1_1" rangeCreator="" othersAccessPermission="edit"/>
    <arrUserId title="Диапазон2_1_1_1_1_2_2_1_1_1_1_1_2" rangeCreator="" othersAccessPermission="edit"/>
    <arrUserId title="Диапазон2_18_3" rangeCreator="" othersAccessPermission="edit"/>
    <arrUserId title="Диапазон2_20_1_1" rangeCreator="" othersAccessPermission="edit"/>
    <arrUserId title="Диапазон2_22_1" rangeCreator="" othersAccessPermission="edit"/>
    <arrUserId title="Диапазон5_1_1_1_1_2_2_1_1_1_1_1_2" rangeCreator="" othersAccessPermission="edit"/>
    <arrUserId title="Диапазон2_2_1_1_1_3_1_1_1_1_1_1_1_1" rangeCreator="" othersAccessPermission="edit"/>
    <arrUserId title="Диапазон2_2_1_1_1_1_2_1" rangeCreator="" othersAccessPermission="edit"/>
    <arrUserId title="Диапазон2_1_1_1_1_6_1_2" rangeCreator="" othersAccessPermission="edit"/>
    <arrUserId title="Диапазон2_1_1_1_1_6_1_2_1" rangeCreator="" othersAccessPermission="edit"/>
    <arrUserId title="Диапазон2_2_1_1_1_3_1_1_1_1_1_1_2_1_1_1_5_1_1" rangeCreator="" othersAccessPermission="edit"/>
    <arrUserId title="Диапазон2_2_1" rangeCreator="" othersAccessPermission="edit"/>
    <arrUserId title="Диапазон2_1_1_4" rangeCreator="" othersAccessPermission="edit"/>
    <arrUserId title="Диапазон2_6_1_1_1" rangeCreator="" othersAccessPermission="edit"/>
    <arrUserId title="Диапазон2_2_1_1_1_3_1_2" rangeCreator="" othersAccessPermission="edit"/>
    <arrUserId title="Диапазон2_1_1_1_1_4_2_1" rangeCreator="" othersAccessPermission="edit"/>
    <arrUserId title="Диапазон2_10_1_1" rangeCreator="" othersAccessPermission="edit"/>
    <arrUserId title="Диапазон5_6_2_1" rangeCreator="" othersAccessPermission="edit"/>
    <arrUserId title="Диапазон5_11_1_1" rangeCreator="" othersAccessPermission="edit"/>
    <arrUserId title="Диапазон2_2_1_1_1" rangeCreator="" othersAccessPermission="edit"/>
    <arrUserId title="Диапазон5_1_1_2" rangeCreator="" othersAccessPermission="edit"/>
    <arrUserId title="Диапазон5_1_3_1" rangeCreator="" othersAccessPermission="edit"/>
    <arrUserId title="Диапазон5_1_4_1" rangeCreator="" othersAccessPermission="edit"/>
    <arrUserId title="Диапазон2_1_1_1_1_5_1" rangeCreator="" othersAccessPermission="edit"/>
    <arrUserId title="Диапазон5_1_1_3" rangeCreator="" othersAccessPermission="edit"/>
    <arrUserId title="Диапазон2_2_1_1_1_4_1" rangeCreator="" othersAccessPermission="edit"/>
    <arrUserId title="Диапазон2_7_3_1_1_1_1" rangeCreator="" othersAccessPermission="edit"/>
    <arrUserId title="Диапазон2_2_4" rangeCreator="" othersAccessPermission="edit"/>
    <arrUserId title="Диапазон5_1_1_1_2" rangeCreator="" othersAccessPermission="edit"/>
    <arrUserId title="Диапазон5_5_1" rangeCreator="" othersAccessPermission="edit"/>
    <arrUserId title="Диапазон5_2_1_1_1_2_1_1_1_1" rangeCreator="" othersAccessPermission="edit"/>
    <arrUserId title="Диапазон2_1_1_1_1_2_2_1_2" rangeCreator="" othersAccessPermission="edit"/>
    <arrUserId title="Диапазон2_1_1_1_1_4_1_1_2_1" rangeCreator="" othersAccessPermission="edit"/>
    <arrUserId title="Диапазон2_11_2" rangeCreator="" othersAccessPermission="edit"/>
    <arrUserId title="Диапазон2_11_1_2" rangeCreator="" othersAccessPermission="edit"/>
    <arrUserId title="Диапазон2_11_1_1_1_1" rangeCreator="" othersAccessPermission="edit"/>
    <arrUserId title="Диапазон5_1_1_4" rangeCreator="" othersAccessPermission="edit"/>
    <arrUserId title="Диапазон5_3_1_1" rangeCreator="" othersAccessPermission="edit"/>
    <arrUserId title="Диапазон2_1_1_1_1_3_2" rangeCreator="" othersAccessPermission="edit"/>
    <arrUserId title="Диапазон2_9_1_1" rangeCreator="" othersAccessPermission="edit"/>
    <arrUserId title="Диапазон2_11_3" rangeCreator="" othersAccessPermission="edit"/>
    <arrUserId title="Диапазон2_2_1_1_1_3_1_1_2_1" rangeCreator="" othersAccessPermission="edit"/>
    <arrUserId title="Диапазон5_10_2" rangeCreator="" othersAccessPermission="edit"/>
    <arrUserId title="Диапазон5_11_1_2" rangeCreator="" othersAccessPermission="edit"/>
    <arrUserId title="Диапазон2_2_1_1_1_3_1_1_1_1_2" rangeCreator="" othersAccessPermission="edit"/>
    <arrUserId title="Диапазон5_14_2" rangeCreator="" othersAccessPermission="edit"/>
    <arrUserId title="Диапазон2_7_3_2" rangeCreator="" othersAccessPermission="edit"/>
    <arrUserId title="Диапазон2_1_1_1_1_2_2_1_1_1_1_2_1" rangeCreator="" othersAccessPermission="edit"/>
    <arrUserId title="Диапазон2_19_2" rangeCreator="" othersAccessPermission="edit"/>
    <arrUserId title="Диапазон2_20_2" rangeCreator="" othersAccessPermission="edit"/>
    <arrUserId title="Диапазон2_22_2" rangeCreator="" othersAccessPermission="edit"/>
    <arrUserId title="Диапазон5_16_1_1_1" rangeCreator="" othersAccessPermission="edit"/>
    <arrUserId title="Диапазон2_2_1_1_1_3_1_1_1_1_1_1_1_2" rangeCreator="" othersAccessPermission="edit"/>
    <arrUserId title="Диапазон2_25_1_1" rangeCreator="" othersAccessPermission="edit"/>
    <arrUserId title="Диапазон2_1_1_1_1_2_2_1_1_1_1_1_1_1_1_1_2" rangeCreator="" othersAccessPermission="edit"/>
    <arrUserId title="Диапазон2_7_3_1_3" rangeCreator="" othersAccessPermission="edit"/>
    <arrUserId title="Диапазон2_30_1_1" rangeCreator="" othersAccessPermission="edit"/>
    <arrUserId title="Диапазон2_1_1_1_1_5_2" rangeCreator="" othersAccessPermission="edit"/>
    <arrUserId title="Диапазон2_7_3_1_1_2" rangeCreator="" othersAccessPermission="edit"/>
    <arrUserId title="Диапазон2_1_1_1_1_6_2" rangeCreator="" othersAccessPermission="edit"/>
    <arrUserId title="Диапазон5_7_3_1_2_1_1" rangeCreator="" othersAccessPermission="edit"/>
    <arrUserId title="Диапазон5_22_1_1_1" rangeCreator="" othersAccessPermission="edit"/>
    <arrUserId title="Диапазон2_1_1_1_1_2_2_1_1_1_1_1_1_1_1_1_1_1_1" rangeCreator="" othersAccessPermission="edit"/>
    <arrUserId title="Диапазон2_2_1_1_1_5_1_1" rangeCreator="" othersAccessPermission="edit"/>
    <arrUserId title="Диапазон2_2_1_1_1_3_1_1_1_1_1_1_2_1_1_1_5_2" rangeCreator="" othersAccessPermission="edit"/>
    <arrUserId title="Диапазон2_2_3" rangeCreator="" othersAccessPermission="edit"/>
    <arrUserId title="Диапазон2_1_7" rangeCreator="" othersAccessPermission="edit"/>
    <arrUserId title="Диапазон2_6_1_2" rangeCreator="" othersAccessPermission="edit"/>
    <arrUserId title="Диапазон5_2_1_1_1_2_2" rangeCreator="" othersAccessPermission="edit"/>
    <arrUserId title="Диапазон5_1_1_1_1_2_1_1" rangeCreator="" othersAccessPermission="edit"/>
    <arrUserId title="Диапазон2_10_1_2" rangeCreator="" othersAccessPermission="edit"/>
    <arrUserId title="Диапазон2_6_2_1_1" rangeCreator="" othersAccessPermission="edit"/>
    <arrUserId title="Диапазон5_11_1_2_1" rangeCreator="" othersAccessPermission="edit"/>
    <arrUserId title="Диапазон5_1_2_1_1" rangeCreator="" othersAccessPermission="edit"/>
    <arrUserId title="Диапазон5_1_5" rangeCreator="" othersAccessPermission="edit"/>
    <arrUserId title="Диапазон2_4_2" rangeCreator="" othersAccessPermission="edit"/>
    <arrUserId title="Диапазон2_2_1_1_1_1_1" rangeCreator="" othersAccessPermission="edit"/>
    <arrUserId title="Диапазон2_5_1_1" rangeCreator="" othersAccessPermission="edit"/>
    <arrUserId title="Диапазон2_2_1_1_1_2_1" rangeCreator="" othersAccessPermission="edit"/>
    <arrUserId title="Диапазон2_9_1_1_1" rangeCreator="" othersAccessPermission="edit"/>
    <arrUserId title="Диапазон2_1_1_1_1_4_3" rangeCreator="" othersAccessPermission="edit"/>
    <arrUserId title="Диапазон5_6_2_2" rangeCreator="" othersAccessPermission="edit"/>
    <arrUserId title="Диапазон5_2_1_1_1_2_1_1_2" rangeCreator="" othersAccessPermission="edit"/>
    <arrUserId title="Диапазон2_1_1_1_1_2_2_2" rangeCreator="" othersAccessPermission="edit"/>
    <arrUserId title="Диапазон2_1_1_1_1_4_1_1_1_2" rangeCreator="" othersAccessPermission="edit"/>
    <arrUserId title="Диапазон2_11_1_3" rangeCreator="" othersAccessPermission="edit"/>
    <arrUserId title="Диапазон2_11_1_1_1_2" rangeCreator="" othersAccessPermission="edit"/>
    <arrUserId title="Диапазон2_11_1_1_1_2_1" rangeCreator="" othersAccessPermission="edit"/>
    <arrUserId title="Диапазон2_2_1_1_1_3_1_1_1_2_2" rangeCreator="" othersAccessPermission="edit"/>
    <arrUserId title="Диапазон5_1_1_1_1_2_2_1_2" rangeCreator="" othersAccessPermission="edit"/>
    <arrUserId title="Диапазон5_10_1_1" rangeCreator="" othersAccessPermission="edit"/>
    <arrUserId title="Диапазон5_11_2" rangeCreator="" othersAccessPermission="edit"/>
    <arrUserId title="Диапазон5_12_1" rangeCreator="" othersAccessPermission="edit"/>
    <arrUserId title="Диапазон2_1_1_1_1_4_1_1_1_1_2" rangeCreator="" othersAccessPermission="edit"/>
    <arrUserId title="Диапазон2_2_1_1_1_3_1_1_1_1_1_1_2" rangeCreator="" othersAccessPermission="edit"/>
    <arrUserId title="Диапазон5_1_1_1_1_2_2_1_1_1_2" rangeCreator="" othersAccessPermission="edit"/>
    <arrUserId title="Диапазон5_14_1_1_1" rangeCreator="" othersAccessPermission="edit"/>
    <arrUserId title="Диапазон5_2_1_1_1_2_1_1_1_1_1_1" rangeCreator="" othersAccessPermission="edit"/>
    <arrUserId title="Диапазон2_1_1_1_1_2_2_1_1_1_1_1_1_2" rangeCreator="" othersAccessPermission="edit"/>
    <arrUserId title="Диапазон2_1_1_1_1_4_1_1_1_1_1_2" rangeCreator="" othersAccessPermission="edit"/>
    <arrUserId title="Диапазон2_18_1_1" rangeCreator="" othersAccessPermission="edit"/>
    <arrUserId title="Диапазон2_19_1_1" rangeCreator="" othersAccessPermission="edit"/>
    <arrUserId title="Диапазон2_20_1_1_1" rangeCreator="" othersAccessPermission="edit"/>
    <arrUserId title="Диапазон2_21_1" rangeCreator="" othersAccessPermission="edit"/>
    <arrUserId title="Диапазон2_22_1_1" rangeCreator="" othersAccessPermission="edit"/>
    <arrUserId title="Диапазон2_2_1_1_1_3_1_1_1_2_1_1_1" rangeCreator="" othersAccessPermission="edit"/>
    <arrUserId title="Диапазон5_1_1_1_1_2_2_1_1_1_1_1_1_2" rangeCreator="" othersAccessPermission="edit"/>
    <arrUserId title="Диапазон5_16_1_1_1_1" rangeCreator="" othersAccessPermission="edit"/>
    <arrUserId title="Диапазон2_2_1_1_1_3_1_1_1_1_1_1_1_1_1" rangeCreator="" othersAccessPermission="edit"/>
    <arrUserId title="Диапазон2_26_1" rangeCreator="" othersAccessPermission="edit"/>
    <arrUserId title="Диапазон2_2_1_1_1_1_2_1_1" rangeCreator="" othersAccessPermission="edit"/>
    <arrUserId title="Диапазон2_2_1_1_1_5" rangeCreator="" othersAccessPermission="edit"/>
    <arrUserId title="Диапазон2_1_1_1_1_6_1_3" rangeCreator="" othersAccessPermission="edit"/>
    <arrUserId title="Диапазон2_2_1_1_1_5_1_1_1" rangeCreator="" othersAccessPermission="edit"/>
    <arrUserId title="Диапазон2_1_1_1_1_6_1_2_1_1" rangeCreator="" othersAccessPermission="edit"/>
    <arrUserId title="Диапазон2_2_1_1_1_3_1_1_1_1_1_1_2_1_1_1_4_1" rangeCreator="" othersAccessPermission="edit"/>
    <arrUserId title="Диапазон2_2_1_1_1_3_1_1_1_1_1_1_2_1_1_1_5_1_1_1" rangeCreator="" othersAccessPermission="edit"/>
    <arrUserId title="Диапазон5_1_3_2" rangeCreator="" othersAccessPermission="edit"/>
    <arrUserId title="Диапазон2_2_1_2" rangeCreator="" othersAccessPermission="edit"/>
    <arrUserId title="Диапазон5_2_3" rangeCreator="" othersAccessPermission="edit"/>
    <arrUserId title="Диапазон2_1_1_1_2" rangeCreator="" othersAccessPermission="edit"/>
    <arrUserId title="Диапазон2_1_1_1_1_2_1" rangeCreator="" othersAccessPermission="edit"/>
    <arrUserId title="Диапазон2_6_1_1_1_1" rangeCreator="" othersAccessPermission="edit"/>
    <arrUserId title="Диапазон5_2_1_1_1_2_2_1" rangeCreator="" othersAccessPermission="edit"/>
    <arrUserId title="Диапазон2_2_1_1_1_3_1_2_1" rangeCreator="" othersAccessPermission="edit"/>
    <arrUserId title="Диапазон5_1_1_1_1_2_1_1_1" rangeCreator="" othersAccessPermission="edit"/>
    <arrUserId title="Диапазон2_1_1_1_1_4_2_1_1" rangeCreator="" othersAccessPermission="edit"/>
    <arrUserId title="Диапазон5_6_1" rangeCreator="" othersAccessPermission="edit"/>
    <arrUserId title="Диапазон2_10_1_1_1" rangeCreator="" othersAccessPermission="edit"/>
    <arrUserId title="Диапазон2_6_2_1_1_1" rangeCreator="" othersAccessPermission="edit"/>
    <arrUserId title="Диапазон5_6_2_1_1" rangeCreator="" othersAccessPermission="edit"/>
    <arrUserId title="Диапазон2_10_1_1_1_1" rangeCreator="" othersAccessPermission="edit"/>
    <arrUserId title="Диапазон5_11_1_1_1" rangeCreator="" othersAccessPermission="edit"/>
    <arrUserId title="Диапазон5_1_2_1_1_1" rangeCreator="" othersAccessPermission="edit"/>
    <arrUserId title="Диапазон2_2_1_1_1_4" rangeCreator="" othersAccessPermission="edit"/>
    <arrUserId title="Диапазон5_2_1_1" rangeCreator="" othersAccessPermission="edit"/>
    <arrUserId title="Диапазон5_1_1_2_1" rangeCreator="" othersAccessPermission="edit"/>
    <arrUserId title="Диапазон5_3_1_1_1" rangeCreator="" othersAccessPermission="edit"/>
    <arrUserId title="Диапазон5_1_3_1_1" rangeCreator="" othersAccessPermission="edit"/>
    <arrUserId title="Диапазон2_2_2_4" rangeCreator="" othersAccessPermission="edit"/>
    <arrUserId title="Диапазон5_1_4_1_1" rangeCreator="" othersAccessPermission="edit"/>
    <arrUserId title="Диапазон2_2_3_1" rangeCreator="" othersAccessPermission="edit"/>
    <arrUserId title="Диапазон5_1_1_1_1_3" rangeCreator="" othersAccessPermission="edit"/>
    <arrUserId title="Диапазон2_1_1_1_1_5_1_1" rangeCreator="" othersAccessPermission="edit"/>
    <arrUserId title="Диапазон5_1_5_1" rangeCreator="" othersAccessPermission="edit"/>
    <arrUserId title="Диапазон5_1_1_3_1" rangeCreator="" othersAccessPermission="edit"/>
    <arrUserId title="Диапазон5_1_1_1_2_1" rangeCreator="" othersAccessPermission="edit"/>
    <arrUserId title="Диапазон2_2_1_1_1_4_1_1" rangeCreator="" othersAccessPermission="edit"/>
    <arrUserId title="Диапазон2_1_1_1_1_5_2_1" rangeCreator="" othersAccessPermission="edit"/>
    <arrUserId title="Диапазон2_7_3_1_1_1_1_1" rangeCreator="" othersAccessPermission="edit"/>
    <arrUserId title="Диапазон5_1_6" rangeCreator="" othersAccessPermission="edit"/>
    <arrUserId title="Диапазон2_2_4_1" rangeCreator="" othersAccessPermission="edit"/>
    <arrUserId title="Диапазон5_2_2_1_2" rangeCreator="" othersAccessPermission="edit"/>
    <arrUserId title="Диапазон5_1_1_1_3" rangeCreator="" othersAccessPermission="edit"/>
    <arrUserId title="Диапазон2_2_5" rangeCreator="" othersAccessPermission="edit"/>
    <arrUserId title="Диапазон5_5_1_1" rangeCreator="" othersAccessPermission="edit"/>
    <arrUserId title="Диапазон2_8_1" rangeCreator="" othersAccessPermission="edit"/>
    <arrUserId title="Диапазон5_2_1_1_1_2_1_1_1_1_2" rangeCreator="" othersAccessPermission="edit"/>
    <arrUserId title="Диапазон2_2_1_1_1_3_1_2_1_1" rangeCreator="" othersAccessPermission="edit"/>
    <arrUserId title="Диапазон2_1_1_1_1_2_2_1_1_2" rangeCreator="" othersAccessPermission="edit"/>
    <arrUserId title="Диапазон5_1_1_1_1_2_2_2" rangeCreator="" othersAccessPermission="edit"/>
    <arrUserId title="Диапазон2_1_1_1_1_4_1_1_2_1_1" rangeCreator="" othersAccessPermission="edit"/>
    <arrUserId title="Диапазон5_9_2" rangeCreator="" othersAccessPermission="edit"/>
    <arrUserId title="Диапазон2_11_2_1" rangeCreator="" othersAccessPermission="edit"/>
    <arrUserId title="Диапазон5_9_1_2" rangeCreator="" othersAccessPermission="edit"/>
    <arrUserId title="Диапазон2_11_1_2_1" rangeCreator="" othersAccessPermission="edit"/>
    <arrUserId title="Диапазон5_9_1_1_1" rangeCreator="" othersAccessPermission="edit"/>
    <arrUserId title="Диапазон2_11_1_1_1_1_1" rangeCreator="" othersAccessPermission="edit"/>
    <arrUserId title="Диапазон2_2_10" rangeCreator="" othersAccessPermission="edit"/>
    <arrUserId title="Диапазон5_1_4_1_1_1" rangeCreator="" othersAccessPermission="edit"/>
    <arrUserId title="Диапазон2_2_3_1_1" rangeCreator="" othersAccessPermission="edit"/>
    <arrUserId title="Диапазон5_1_1_4_1" rangeCreator="" othersAccessPermission="edit"/>
    <arrUserId title="Диапазон2_2_11" rangeCreator="" othersAccessPermission="edit"/>
    <arrUserId title="Диапазон5_1_4_2" rangeCreator="" othersAccessPermission="edit"/>
    <arrUserId title="Диапазон2_2_3_2" rangeCreator="" othersAccessPermission="edit"/>
    <arrUserId title="Диапазон2_2_12" rangeCreator="" othersAccessPermission="edit"/>
    <arrUserId title="Диапазон5_1_4_3" rangeCreator="" othersAccessPermission="edit"/>
    <arrUserId title="Диапазон2_2_3_3" rangeCreator="" othersAccessPermission="edit"/>
    <arrUserId title="Диапазон2_2_13" rangeCreator="" othersAccessPermission="edit"/>
    <arrUserId title="Диапазон5_1_4_4" rangeCreator="" othersAccessPermission="edit"/>
    <arrUserId title="Диапазон2_2_3_4" rangeCreator="" othersAccessPermission="edit"/>
    <arrUserId title="Диапазон2_2_14" rangeCreator="" othersAccessPermission="edit"/>
    <arrUserId title="Диапазон5_2_1_1_1_2_2_1_1" rangeCreator="" othersAccessPermission="edit"/>
    <arrUserId title="Диапазон2_2_1_1_1_3_1_3" rangeCreator="" othersAccessPermission="edit"/>
    <arrUserId title="Диапазон5_1_5_1_1" rangeCreator="" othersAccessPermission="edit"/>
    <arrUserId title="Диапазон2_1_1_1_1_6_2_1" rangeCreator="" othersAccessPermission="edit"/>
    <arrUserId title="Диапазон2_2_15" rangeCreator="" othersAccessPermission="edit"/>
    <arrUserId title="Диапазон2_1_1_1_1_2_1_2" rangeCreator="" othersAccessPermission="edit"/>
    <arrUserId title="Диапазон5_1_1_1_1_2_1_1_1_1" rangeCreator="" othersAccessPermission="edit"/>
    <arrUserId title="Диапазон2_1_1_1_1_4_2_1_1_1" rangeCreator="" othersAccessPermission="edit"/>
    <arrUserId title="Диапазон5_1_1_1_1_1_1" rangeCreator="" othersAccessPermission="edit"/>
    <arrUserId title="Диапазон2_1_1_1_1_5_1_1_1" rangeCreator="" othersAccessPermission="edit"/>
    <arrUserId title="Диапазон5_1_5_2" rangeCreator="" othersAccessPermission="edit"/>
    <arrUserId title="Диапазон2_2_1_1_1_3_1_1_1_1_1_1_1_2_1" rangeCreator="" othersAccessPermission="edit"/>
    <arrUserId title="Диапазон5_2_1_1_1_2_1_1_2_1" rangeCreator="" othersAccessPermission="edit"/>
    <arrUserId title="Диапазон5_1_3_6" rangeCreator="" othersAccessPermission="edit"/>
    <arrUserId title="Диапазон2_2_1_6" rangeCreator="" othersAccessPermission="edit"/>
    <arrUserId title="Диапазон2_2_16" rangeCreator="" othersAccessPermission="edit"/>
    <arrUserId title="Диапазон2_1_1_1_1_3_1_1" rangeCreator="" othersAccessPermission="edit"/>
    <arrUserId title="Диапазон5_1_3_7" rangeCreator="" othersAccessPermission="edit"/>
    <arrUserId title="Диапазон2_2_1_7" rangeCreator="" othersAccessPermission="edit"/>
    <arrUserId title="Диапазон2_2_17" rangeCreator="" othersAccessPermission="edit"/>
    <arrUserId title="Диапазон2_1_1_1_1_3_1_1_1" rangeCreator="" othersAccessPermission="edit"/>
    <arrUserId title="Диапазон5_1_3_8" rangeCreator="" othersAccessPermission="edit"/>
    <arrUserId title="Диапазон2_2_1_8" rangeCreator="" othersAccessPermission="edit"/>
  </rangeList>
  <rangeList sheetStid="97" master="" otherUserPermission="visible"/>
  <rangeList sheetStid="57" master="" otherUserPermission="visible"/>
  <rangeList sheetStid="96" master="" otherUserPermission="visible">
    <arrUserId title="Диапазон5_1_1" rangeCreator="" othersAccessPermission="edit"/>
    <arrUserId title="Диапазон2_1_3" rangeCreator="" othersAccessPermission="edit"/>
    <arrUserId title="Диапазон5_2_3" rangeCreator="" othersAccessPermission="edit"/>
    <arrUserId title="Диапазон2_2_3" rangeCreator="" othersAccessPermission="edit"/>
    <arrUserId title="Диапазон5_1_3_2" rangeCreator="" othersAccessPermission="edit"/>
    <arrUserId title="Диапазон2_1_3_2" rangeCreator="" othersAccessPermission="edit"/>
    <arrUserId title="Диапазон5_1_8" rangeCreator="" othersAccessPermission="edit"/>
    <arrUserId title="Диапазон2_1_8" rangeCreator="" othersAccessPermission="edit"/>
    <arrUserId title="Диапазон5_6" rangeCreator="" othersAccessPermission="edit"/>
    <arrUserId title="Диапазон2_6" rangeCreator="" othersAccessPermission="edit"/>
    <arrUserId title="Диапазон5_1_9" rangeCreator="" othersAccessPermission="edit"/>
    <arrUserId title="Диапазон2_1_9" rangeCreator="" othersAccessPermission="edit"/>
    <arrUserId title="Диапазон5_6_1" rangeCreator="" othersAccessPermission="edit"/>
    <arrUserId title="Диапазон2_6_1" rangeCreator="" othersAccessPermission="edit"/>
    <arrUserId title="Диапазон5_1_1_4" rangeCreator="" othersAccessPermission="edit"/>
    <arrUserId title="Диапазон2_1_1_4" rangeCreator="" othersAccessPermission="edit"/>
    <arrUserId title="Диапазон5_2_4" rangeCreator="" othersAccessPermission="edit"/>
    <arrUserId title="Диапазон2_2_4" rangeCreator="" othersAccessPermission="edit"/>
    <arrUserId title="Диапазон5_3_1" rangeCreator="" othersAccessPermission="edit"/>
    <arrUserId title="Диапазон2_3_1" rangeCreator="" othersAccessPermission="edit"/>
    <arrUserId title="Диапазон5_4_5" rangeCreator="" othersAccessPermission="edit"/>
    <arrUserId title="Диапазон2_5_1" rangeCreator="" othersAccessPermission="edit"/>
    <arrUserId title="Диапазон5_6_1_1" rangeCreator="" othersAccessPermission="edit"/>
    <arrUserId title="Диапазон5_1_1_1_2" rangeCreator="" othersAccessPermission="edit"/>
    <arrUserId title="Диапазон2_1_1_1_2" rangeCreator="" othersAccessPermission="edit"/>
    <arrUserId title="Диапазон5_1_2_1_1" rangeCreator="" othersAccessPermission="edit"/>
    <arrUserId title="Диапазон2_1_2_1_1" rangeCreator="" othersAccessPermission="edit"/>
    <arrUserId title="Диапазон5_1_3_1_1" rangeCreator="" othersAccessPermission="edit"/>
    <arrUserId title="Диапазон2_1_3_1_1" rangeCreator="" othersAccessPermission="edit"/>
    <arrUserId title="Диапазон5_1_4_1" rangeCreator="" othersAccessPermission="edit"/>
    <arrUserId title="Диапазон2_1_4_1" rangeCreator="" othersAccessPermission="edit"/>
    <arrUserId title="Диапазон2_1_5_1" rangeCreator="" othersAccessPermission="edit"/>
    <arrUserId title="Диапазон5_1_6_1" rangeCreator="" othersAccessPermission="edit"/>
    <arrUserId title="Диапазон2_1_6_1" rangeCreator="" othersAccessPermission="edit"/>
    <arrUserId title="Диапазон5_1_9_1" rangeCreator="" othersAccessPermission="edit"/>
    <arrUserId title="Диапазон2_1_9_1" rangeCreator="" othersAccessPermission="edit"/>
    <arrUserId title="Диапазон5_6_2" rangeCreator="" othersAccessPermission="edit"/>
    <arrUserId title="Диапазон2_6_2" rangeCreator="" othersAccessPermission="edit"/>
    <arrUserId title="Диапазон2_13" rangeCreator="" othersAccessPermission="edit"/>
    <arrUserId title="Диапазон2_14" rangeCreator="" othersAccessPermission="edit"/>
    <arrUserId title="Диапазон5_15" rangeCreator="" othersAccessPermission="edit"/>
    <arrUserId title="Диапазон2_15" rangeCreator="" othersAccessPermission="edit"/>
    <arrUserId title="Диапазон5_1_10" rangeCreator="" othersAccessPermission="edit"/>
    <arrUserId title="Диапазон2_1_10" rangeCreator="" othersAccessPermission="edit"/>
    <arrUserId title="Диапазон5_1_11" rangeCreator="" othersAccessPermission="edit"/>
    <arrUserId title="Диапазон2_1_11" rangeCreator="" othersAccessPermission="edit"/>
    <arrUserId title="Диапазон5_18" rangeCreator="" othersAccessPermission="edit"/>
    <arrUserId title="Диапазон2_18" rangeCreator="" othersAccessPermission="edit"/>
    <arrUserId title="Диапазон5_19" rangeCreator="" othersAccessPermission="edit"/>
    <arrUserId title="Диапазон2_19" rangeCreator="" othersAccessPermission="edit"/>
    <arrUserId title="Диапазон5_21" rangeCreator="" othersAccessPermission="edit"/>
    <arrUserId title="Диапазон2_21" rangeCreator="" othersAccessPermission="edit"/>
    <arrUserId title="Диапазон5_1_16" rangeCreator="" othersAccessPermission="edit"/>
    <arrUserId title="Диапазон2_1_16" rangeCreator="" othersAccessPermission="edit"/>
    <arrUserId title="Диапазон5_1_17" rangeCreator="" othersAccessPermission="edit"/>
    <arrUserId title="Диапазон2_1_17" rangeCreator="" othersAccessPermission="edit"/>
    <arrUserId title="Диапазон5_1_18" rangeCreator="" othersAccessPermission="edit"/>
    <arrUserId title="Диапазон2_1_18" rangeCreator="" othersAccessPermission="edit"/>
    <arrUserId title="Диапазон5_22" rangeCreator="" othersAccessPermission="edit"/>
    <arrUserId title="Диапазон2_22" rangeCreator="" othersAccessPermission="edit"/>
    <arrUserId title="Диапазон5_1_1_5" rangeCreator="" othersAccessPermission="edit"/>
    <arrUserId title="Диапазон2_1_1_5" rangeCreator="" othersAccessPermission="edit"/>
    <arrUserId title="Диапазон5_2_5" rangeCreator="" othersAccessPermission="edit"/>
    <arrUserId title="Диапазон2_2_5" rangeCreator="" othersAccessPermission="edit"/>
    <arrUserId title="Диапазон5_1_19" rangeCreator="" othersAccessPermission="edit"/>
    <arrUserId title="Диапазон2_1_19" rangeCreator="" othersAccessPermission="edit"/>
    <arrUserId title="Диапазон5_1_21" rangeCreator="" othersAccessPermission="edit"/>
    <arrUserId title="Диапазон2_1_21" rangeCreator="" othersAccessPermission="edit"/>
    <arrUserId title="Диапазон5_1_22" rangeCreator="" othersAccessPermission="edit"/>
    <arrUserId title="Диапазон5_1_24" rangeCreator="" othersAccessPermission="edit"/>
    <arrUserId title="Диапазон2_1_24" rangeCreator="" othersAccessPermission="edit"/>
    <arrUserId title="Диапазон5_1_25" rangeCreator="" othersAccessPermission="edit"/>
    <arrUserId title="Диапазон2_1_25" rangeCreator="" othersAccessPermission="edit"/>
    <arrUserId title="Диапазон5_1_26" rangeCreator="" othersAccessPermission="edit"/>
    <arrUserId title="Диапазон2_1_26" rangeCreator="" othersAccessPermission="edit"/>
    <arrUserId title="Диапазон5_1_27" rangeCreator="" othersAccessPermission="edit"/>
    <arrUserId title="Диапазон2_1_27" rangeCreator="" othersAccessPermission="edit"/>
    <arrUserId title="Диапазон5_1_28" rangeCreator="" othersAccessPermission="edit"/>
    <arrUserId title="Диапазон2_1_28" rangeCreator="" othersAccessPermission="edit"/>
    <arrUserId title="Диапазон5_1_29" rangeCreator="" othersAccessPermission="edit"/>
    <arrUserId title="Диапазон2_1_29" rangeCreator="" othersAccessPermission="edit"/>
    <arrUserId title="Диапазон5_1_30" rangeCreator="" othersAccessPermission="edit"/>
    <arrUserId title="Диапазон2_1_30" rangeCreator="" othersAccessPermission="edit"/>
    <arrUserId title="Диапазон5_1_31" rangeCreator="" othersAccessPermission="edit"/>
    <arrUserId title="Диапазон2_1_31" rangeCreator="" othersAccessPermission="edit"/>
    <arrUserId title="Диапазон5_1_5_2" rangeCreator="" othersAccessPermission="edit"/>
    <arrUserId title="Диапазон2_1_5_2" rangeCreator="" othersAccessPermission="edit"/>
    <arrUserId title="Диапазон5_23" rangeCreator="" othersAccessPermission="edit"/>
    <arrUserId title="Диапазон2_23" rangeCreator="" othersAccessPermission="edit"/>
    <arrUserId title="Диапазон5_1_1_7" rangeCreator="" othersAccessPermission="edit"/>
    <arrUserId title="Диапазон2_1_1_7" rangeCreator="" othersAccessPermission="edit"/>
    <arrUserId title="Диапазон5_24" rangeCreator="" othersAccessPermission="edit"/>
    <arrUserId title="Диапазон2_24" rangeCreator="" othersAccessPermission="edit"/>
    <arrUserId title="Диапазон5_1_1_8" rangeCreator="" othersAccessPermission="edit"/>
    <arrUserId title="Диапазон2_1_1_8" rangeCreator="" othersAccessPermission="edit"/>
    <arrUserId title="Диапазон5_25" rangeCreator="" othersAccessPermission="edit"/>
    <arrUserId title="Диапазон2_25" rangeCreator="" othersAccessPermission="edit"/>
    <arrUserId title="Диапазон5_1_1_9" rangeCreator="" othersAccessPermission="edit"/>
    <arrUserId title="Диапазон2_1_1_9" rangeCreator="" othersAccessPermission="edit"/>
    <arrUserId title="Диапазон5_26" rangeCreator="" othersAccessPermission="edit"/>
    <arrUserId title="Диапазон2_26" rangeCreator="" othersAccessPermission="edit"/>
    <arrUserId title="Диапазон5_1_1_10" rangeCreator="" othersAccessPermission="edit"/>
    <arrUserId title="Диапазон2_1_1_10" rangeCreator="" othersAccessPermission="edit"/>
    <arrUserId title="Диапазон5_1_1_11" rangeCreator="" othersAccessPermission="edit"/>
    <arrUserId title="Диапазон2_1_1_11" rangeCreator="" othersAccessPermission="edit"/>
    <arrUserId title="Диапазон5_2_7" rangeCreator="" othersAccessPermission="edit"/>
    <arrUserId title="Диапазон2_2_7" rangeCreator="" othersAccessPermission="edit"/>
    <arrUserId title="Диапазон5_1_32" rangeCreator="" othersAccessPermission="edit"/>
    <arrUserId title="Диапазон2_1_32" rangeCreator="" othersAccessPermission="edit"/>
    <arrUserId title="Диапазон5_1_34" rangeCreator="" othersAccessPermission="edit"/>
    <arrUserId title="Диапазон2_1_34" rangeCreator="" othersAccessPermission="edit"/>
    <arrUserId title="Диапазон5_1_35" rangeCreator="" othersAccessPermission="edit"/>
    <arrUserId title="Диапазон2_1_35" rangeCreator="" othersAccessPermission="edit"/>
    <arrUserId title="Диапазон5_27" rangeCreator="" othersAccessPermission="edit"/>
    <arrUserId title="Диапазон2_27" rangeCreator="" othersAccessPermission="edit"/>
    <arrUserId title="Диапазон5_11_1" rangeCreator="" othersAccessPermission="edit"/>
    <arrUserId title="Диапазон2_11_1" rangeCreator="" othersAccessPermission="edit"/>
    <arrUserId title="Диапазон5_28" rangeCreator="" othersAccessPermission="edit"/>
    <arrUserId title="Диапазон2_28" rangeCreator="" othersAccessPermission="edit"/>
    <arrUserId title="Диапазон5_6_3" rangeCreator="" othersAccessPermission="edit"/>
    <arrUserId title="Диапазон2_6_3" rangeCreator="" othersAccessPermission="edit"/>
    <arrUserId title="Диапазон5_1_1_3_1" rangeCreator="" othersAccessPermission="edit"/>
    <arrUserId title="Диапазон2_1_1_3_1" rangeCreator="" othersAccessPermission="edit"/>
    <arrUserId title="Диапазон5_6_4" rangeCreator="" othersAccessPermission="edit"/>
    <arrUserId title="Диапазон2_6_4" rangeCreator="" othersAccessPermission="edit"/>
    <arrUserId title="Диапазон5_1_1_3_2" rangeCreator="" othersAccessPermission="edit"/>
    <arrUserId title="Диапазон2_1_1_3_2" rangeCreator="" othersAccessPermission="edit"/>
    <arrUserId title="Диапазон5_6_5" rangeCreator="" othersAccessPermission="edit"/>
    <arrUserId title="Диапазон2_6_5" rangeCreator="" othersAccessPermission="edit"/>
    <arrUserId title="Диапазон5_1_1_3_3" rangeCreator="" othersAccessPermission="edit"/>
    <arrUserId title="Диапазон2_1_1_3_3" rangeCreator="" othersAccessPermission="edit"/>
    <arrUserId title="Диапазон5_6_6" rangeCreator="" othersAccessPermission="edit"/>
    <arrUserId title="Диапазон2_6_6" rangeCreator="" othersAccessPermission="edit"/>
    <arrUserId title="Диапазон5_1_1_3_4" rangeCreator="" othersAccessPermission="edit"/>
    <arrUserId title="Диапазон2_1_1_3_4" rangeCreator="" othersAccessPermission="edit"/>
    <arrUserId title="Диапазон5_1_46" rangeCreator="" othersAccessPermission="edit"/>
    <arrUserId title="Диапазон2_1_46" rangeCreator="" othersAccessPermission="edit"/>
    <arrUserId title="Диапазон5_1_47" rangeCreator="" othersAccessPermission="edit"/>
    <arrUserId title="Диапазон2_1_47" rangeCreator="" othersAccessPermission="edit"/>
    <arrUserId title="Диапазон5_1_49" rangeCreator="" othersAccessPermission="edit"/>
    <arrUserId title="Диапазон2_1_49" rangeCreator="" othersAccessPermission="edit"/>
    <arrUserId title="Диапазон5_1_2_6" rangeCreator="" othersAccessPermission="edit"/>
    <arrUserId title="Диапазон2_1_2_6" rangeCreator="" othersAccessPermission="edit"/>
    <arrUserId title="Диапазон5_1_2_1_2" rangeCreator="" othersAccessPermission="edit"/>
    <arrUserId title="Диапазон2_1_2_1_2" rangeCreator="" othersAccessPermission="edit"/>
    <arrUserId title="Диапазон5_1_4_2" rangeCreator="" othersAccessPermission="edit"/>
    <arrUserId title="Диапазон2_1_4_2" rangeCreator="" othersAccessPermission="edit"/>
    <arrUserId title="Диапазон5_1_2_2_1" rangeCreator="" othersAccessPermission="edit"/>
    <arrUserId title="Диапазон2_1_2_2_1" rangeCreator="" othersAccessPermission="edit"/>
    <arrUserId title="Диапазон5_7_1_1" rangeCreator="" othersAccessPermission="edit"/>
    <arrUserId title="Диапазон2_7_1_1" rangeCreator="" othersAccessPermission="edit"/>
    <arrUserId title="Диапазон5_2_1_3" rangeCreator="" othersAccessPermission="edit"/>
    <arrUserId title="Диапазон2_2_1_3" rangeCreator="" othersAccessPermission="edit"/>
    <arrUserId title="Диапазон5_3_2" rangeCreator="" othersAccessPermission="edit"/>
    <arrUserId title="Диапазон2_3_2" rangeCreator="" othersAccessPermission="edit"/>
    <arrUserId title="Диапазон5_1_2_4_1" rangeCreator="" othersAccessPermission="edit"/>
    <arrUserId title="Диапазон2_1_2_4_1" rangeCreator="" othersAccessPermission="edit"/>
    <arrUserId title="Диапазон5_5_2" rangeCreator="" othersAccessPermission="edit"/>
    <arrUserId title="Диапазон2_5_2" rangeCreator="" othersAccessPermission="edit"/>
    <arrUserId title="Диапазон5_1_8_1" rangeCreator="" othersAccessPermission="edit"/>
    <arrUserId title="Диапазон2_1_8_1" rangeCreator="" othersAccessPermission="edit"/>
    <arrUserId title="Диапазон5_1_2_5_1" rangeCreator="" othersAccessPermission="edit"/>
    <arrUserId title="Диапазон2_1_2_5_1" rangeCreator="" othersAccessPermission="edit"/>
    <arrUserId title="Диапазон5_4_1_1" rangeCreator="" othersAccessPermission="edit"/>
    <arrUserId title="Диапазон2_4_1_1" rangeCreator="" othersAccessPermission="edit"/>
    <arrUserId title="Диапазон5_4_2_1" rangeCreator="" othersAccessPermission="edit"/>
    <arrUserId title="Диапазон2_4_2_1" rangeCreator="" othersAccessPermission="edit"/>
    <arrUserId title="Диапазон5_7_2_1" rangeCreator="" othersAccessPermission="edit"/>
    <arrUserId title="Диапазон2_7_2_1" rangeCreator="" othersAccessPermission="edit"/>
    <arrUserId title="Диапазон5_4_3_1" rangeCreator="" othersAccessPermission="edit"/>
    <arrUserId title="Диапазон2_4_3_1" rangeCreator="" othersAccessPermission="edit"/>
    <arrUserId title="Диапазон5_7_3_1" rangeCreator="" othersAccessPermission="edit"/>
    <arrUserId title="Диапазон2_7_3_1" rangeCreator="" othersAccessPermission="edit"/>
    <arrUserId title="Диапазон5_4_4_1" rangeCreator="" othersAccessPermission="edit"/>
    <arrUserId title="Диапазон2_4_4_1" rangeCreator="" othersAccessPermission="edit"/>
    <arrUserId title="Диапазон5_1_2_5_2" rangeCreator="" othersAccessPermission="edit"/>
    <arrUserId title="Диапазон2_1_2_5_2" rangeCreator="" othersAccessPermission="edit"/>
    <arrUserId title="Диапазон5_7_4_1" rangeCreator="" othersAccessPermission="edit"/>
    <arrUserId title="Диапазон2_7_4_1" rangeCreator="" othersAccessPermission="edit"/>
    <arrUserId title="Диапазон5_6_7" rangeCreator="" othersAccessPermission="edit"/>
    <arrUserId title="Диапазон2_6_7" rangeCreator="" othersAccessPermission="edit"/>
    <arrUserId title="Диапазон2_2_6_1" rangeCreator="" othersAccessPermission="edit"/>
    <arrUserId title="Диапазон5_1_9_2" rangeCreator="" othersAccessPermission="edit"/>
    <arrUserId title="Диапазон2_1_9_2" rangeCreator="" othersAccessPermission="edit"/>
    <arrUserId title="Диапазон5_10_2" rangeCreator="" othersAccessPermission="edit"/>
    <arrUserId title="Диапазон2_10_2" rangeCreator="" othersAccessPermission="edit"/>
    <arrUserId title="Диапазон5_1_2" rangeCreator="" othersAccessPermission="edit"/>
    <arrUserId title="Диапазон2_1_2" rangeCreator="" othersAccessPermission="edit"/>
    <arrUserId title="Диапазон5_1_1_12" rangeCreator="" othersAccessPermission="edit"/>
    <arrUserId title="Диапазон2_1_1_12" rangeCreator="" othersAccessPermission="edit"/>
    <arrUserId title="Диапазон5_1_6_2" rangeCreator="" othersAccessPermission="edit"/>
    <arrUserId title="Диапазон2_1_6_2" rangeCreator="" othersAccessPermission="edit"/>
    <arrUserId title="Диапазон5_2_2_1" rangeCreator="" othersAccessPermission="edit"/>
    <arrUserId title="Диапазон2_2_2_1" rangeCreator="" othersAccessPermission="edit"/>
    <arrUserId title="Диапазон5_1_7_1" rangeCreator="" othersAccessPermission="edit"/>
    <arrUserId title="Диапазон2_1_7_1" rangeCreator="" othersAccessPermission="edit"/>
    <arrUserId title="Диапазон5_2_3_1" rangeCreator="" othersAccessPermission="edit"/>
    <arrUserId title="Диапазон2_2_3_1" rangeCreator="" othersAccessPermission="edit"/>
    <arrUserId title="Диапазон5_1_8_2" rangeCreator="" othersAccessPermission="edit"/>
    <arrUserId title="Диапазон2_1_8_2" rangeCreator="" othersAccessPermission="edit"/>
    <arrUserId title="Диапазон5_1_1_3_5" rangeCreator="" othersAccessPermission="edit"/>
    <arrUserId title="Диапазон2_1_1_3_5" rangeCreator="" othersAccessPermission="edit"/>
    <arrUserId title="Диапазон5_1_20_1" rangeCreator="" othersAccessPermission="edit"/>
    <arrUserId title="Диапазон2_1_20_1" rangeCreator="" othersAccessPermission="edit"/>
    <arrUserId title="Диапазон5_1_36_1" rangeCreator="" othersAccessPermission="edit"/>
    <arrUserId title="Диапазон2_1_36_1" rangeCreator="" othersAccessPermission="edit"/>
    <arrUserId title="Диапазон5_1_37_1" rangeCreator="" othersAccessPermission="edit"/>
    <arrUserId title="Диапазон2_1_37_1" rangeCreator="" othersAccessPermission="edit"/>
    <arrUserId title="Диапазон5_1_38_1" rangeCreator="" othersAccessPermission="edit"/>
    <arrUserId title="Диапазон2_1_38_1" rangeCreator="" othersAccessPermission="edit"/>
    <arrUserId title="Диапазон5_1_39_1" rangeCreator="" othersAccessPermission="edit"/>
    <arrUserId title="Диапазон2_1_39_1" rangeCreator="" othersAccessPermission="edit"/>
    <arrUserId title="Диапазон5_1_40_1" rangeCreator="" othersAccessPermission="edit"/>
    <arrUserId title="Диапазон2_1_40_1" rangeCreator="" othersAccessPermission="edit"/>
    <arrUserId title="Диапазон5_1_41_1" rangeCreator="" othersAccessPermission="edit"/>
    <arrUserId title="Диапазон2_1_41_1" rangeCreator="" othersAccessPermission="edit"/>
    <arrUserId title="Диапазон5_1_42_1" rangeCreator="" othersAccessPermission="edit"/>
    <arrUserId title="Диапазон2_1_42_1" rangeCreator="" othersAccessPermission="edit"/>
    <arrUserId title="Диапазон5_1_43_1" rangeCreator="" othersAccessPermission="edit"/>
    <arrUserId title="Диапазон2_1_43_1" rangeCreator="" othersAccessPermission="edit"/>
    <arrUserId title="Диапазон5_1_44_1" rangeCreator="" othersAccessPermission="edit"/>
    <arrUserId title="Диапазон2_1_44_1" rangeCreator="" othersAccessPermission="edit"/>
    <arrUserId title="Диапазон5_1_45_1" rangeCreator="" othersAccessPermission="edit"/>
    <arrUserId title="Диапазон2_1_45_1" rangeCreator="" othersAccessPermission="edit"/>
    <arrUserId title="Диапазон5_14_1" rangeCreator="" othersAccessPermission="edit"/>
    <arrUserId title="Диапазон2_14_1" rangeCreator="" othersAccessPermission="edit"/>
    <arrUserId title="Диапазон5_18_1" rangeCreator="" othersAccessPermission="edit"/>
    <arrUserId title="Диапазон2_18_1" rangeCreator="" othersAccessPermission="edit"/>
    <arrUserId title="Диапазон5_18_2" rangeCreator="" othersAccessPermission="edit"/>
    <arrUserId title="Диапазон2_18_2" rangeCreator="" othersAccessPermission="edit"/>
    <arrUserId title="Диапазон5_18_3" rangeCreator="" othersAccessPermission="edit"/>
    <arrUserId title="Диапазон2_18_3" rangeCreator="" othersAccessPermission="edit"/>
    <arrUserId title="Диапазон5_20_1" rangeCreator="" othersAccessPermission="edit"/>
    <arrUserId title="Диапазон2_20_1" rangeCreator="" othersAccessPermission="edit"/>
    <arrUserId title="Диапазон5_6_8" rangeCreator="" othersAccessPermission="edit"/>
    <arrUserId title="Диапазон2_6_8" rangeCreator="" othersAccessPermission="edit"/>
    <arrUserId title="Диапазон5_3_3" rangeCreator="" othersAccessPermission="edit"/>
    <arrUserId title="Диапазон2_3_3" rangeCreator="" othersAccessPermission="edit"/>
    <arrUserId title="Диапазон3_1_1_2" rangeCreator="" othersAccessPermission="edit"/>
    <arrUserId title="Диапазон4" rangeCreator="" othersAccessPermission="edit"/>
    <arrUserId title="Диапазон3" rangeCreator="" othersAccessPermission="edit"/>
  </rangeList>
  <rangeList sheetStid="29" master="" otherUserPermission="visible"/>
  <rangeList sheetStid="61" master="" otherUserPermission="visible">
    <arrUserId title="Диапазон4_1_1" rangeCreator="" othersAccessPermission="edit"/>
    <arrUserId title="Диапазон3_1_1" rangeCreator="" othersAccessPermission="edit"/>
  </rangeList>
  <rangeList sheetStid="28" master="" otherUserPermission="visible">
    <arrUserId title="Диапазон4" rangeCreator="" othersAccessPermission="edit"/>
    <arrUserId title="Диапазон3" rangeCreator="" othersAccessPermission="edit"/>
    <arrUserId title="Диапазон5_2_3_2_1" rangeCreator="" othersAccessPermission="edit"/>
    <arrUserId title="Диапазон2_2_3_2_1" rangeCreator="" othersAccessPermission="edit"/>
    <arrUserId title="Диапазон5_3_3_4_2" rangeCreator="" othersAccessPermission="edit"/>
    <arrUserId title="Диапазон2_3_3_4_2" rangeCreator="" othersAccessPermission="edit"/>
    <arrUserId title="Диапазон5_2_3_2_1_1" rangeCreator="" othersAccessPermission="edit"/>
    <arrUserId title="Диапазон2_2_3_2_1_1" rangeCreator="" othersAccessPermission="edit"/>
    <arrUserId title="Диапазон5_3_3_4_2_1" rangeCreator="" othersAccessPermission="edit"/>
    <arrUserId title="Диапазон2_3_3_4_2_1" rangeCreator="" othersAccessPermission="edit"/>
    <arrUserId title="Диапазон5_3_3_2_1_1_1" rangeCreator="" othersAccessPermission="edit"/>
    <arrUserId title="Диапазон2_3_3_2_1_1_1" rangeCreator="" othersAccessPermission="edit"/>
  </rangeList>
  <rangeList sheetStid="19" master="" otherUserPermission="visible"/>
  <rangeList sheetStid="91" master="" otherUserPermission="visible">
    <arrUserId title="Диапазон5_2" rangeCreator="" othersAccessPermission="edit"/>
    <arrUserId title="Диапазон2_2" rangeCreator="" othersAccessPermission="edit"/>
    <arrUserId title="Диапазон5_52_1" rangeCreator="" othersAccessPermission="edit"/>
    <arrUserId title="Диапазон2_55_1" rangeCreator="" othersAccessPermission="edit"/>
    <arrUserId title="Диапазон5_54_1" rangeCreator="" othersAccessPermission="edit"/>
    <arrUserId title="Диапазон2_57_1" rangeCreator="" othersAccessPermission="edit"/>
    <arrUserId title="Диапазон5_56_1" rangeCreator="" othersAccessPermission="edit"/>
    <arrUserId title="Диапазон2_59_1" rangeCreator="" othersAccessPermission="edit"/>
    <arrUserId title="Диапазон5_57_1" rangeCreator="" othersAccessPermission="edit"/>
    <arrUserId title="Диапазон2_60_1" rangeCreator="" othersAccessPermission="edit"/>
    <arrUserId title="Диапазон5_5_1" rangeCreator="" othersAccessPermission="edit"/>
    <arrUserId title="Диапазон2_5_1" rangeCreator="" othersAccessPermission="edit"/>
    <arrUserId title="Диапазон2_31_1_1" rangeCreator="" othersAccessPermission="edit"/>
    <arrUserId title="Диапазон5_29_1_1" rangeCreator="" othersAccessPermission="edit"/>
    <arrUserId title="Диапазон2_32_1_1" rangeCreator="" othersAccessPermission="edit"/>
    <arrUserId title="Диапазон5_7_3" rangeCreator="" othersAccessPermission="edit"/>
    <arrUserId title="Диапазон2_7_3" rangeCreator="" othersAccessPermission="edit"/>
    <arrUserId title="Диапазон5_39_1" rangeCreator="" othersAccessPermission="edit"/>
    <arrUserId title="Диапазон2_42_1" rangeCreator="" othersAccessPermission="edit"/>
    <arrUserId title="Диапазон5_40_1" rangeCreator="" othersAccessPermission="edit"/>
    <arrUserId title="Диапазон2_43_1" rangeCreator="" othersAccessPermission="edit"/>
    <arrUserId title="Диапазон2_45_1" rangeCreator="" othersAccessPermission="edit"/>
    <arrUserId title="Диапазон5_43_1" rangeCreator="" othersAccessPermission="edit"/>
    <arrUserId title="Диапазон2_46_1" rangeCreator="" othersAccessPermission="edit"/>
    <arrUserId title="Диапазон5_44_1" rangeCreator="" othersAccessPermission="edit"/>
    <arrUserId title="Диапазон2_47_1" rangeCreator="" othersAccessPermission="edit"/>
    <arrUserId title="Диапазон5_38_1_1" rangeCreator="" othersAccessPermission="edit"/>
    <arrUserId title="Диапазон2_41_1_1" rangeCreator="" othersAccessPermission="edit"/>
    <arrUserId title="Диапазон5_1_3" rangeCreator="" othersAccessPermission="edit"/>
    <arrUserId title="Диапазон2_1_3" rangeCreator="" othersAccessPermission="edit"/>
    <arrUserId title="Диапазон5_1_1_1" rangeCreator="" othersAccessPermission="edit"/>
    <arrUserId title="Диапазон2_1_1_1" rangeCreator="" othersAccessPermission="edit"/>
    <arrUserId title="Диапазон5_8_1" rangeCreator="" othersAccessPermission="edit"/>
    <arrUserId title="Диапазон2_8_1" rangeCreator="" othersAccessPermission="edit"/>
    <arrUserId title="Диапазон5_12_1" rangeCreator="" othersAccessPermission="edit"/>
    <arrUserId title="Диапазон2_12_1" rangeCreator="" othersAccessPermission="edit"/>
    <arrUserId title="Диапазон2_13_1" rangeCreator="" othersAccessPermission="edit"/>
    <arrUserId title="Диапазон5_15_1" rangeCreator="" othersAccessPermission="edit"/>
    <arrUserId title="Диапазон2_16_1" rangeCreator="" othersAccessPermission="edit"/>
    <arrUserId title="Диапазон5_1_1_3_1" rangeCreator="" othersAccessPermission="edit"/>
    <arrUserId title="Диапазон2_1_1_3_1" rangeCreator="" othersAccessPermission="edit"/>
    <arrUserId title="Диапазон5_16_1" rangeCreator="" othersAccessPermission="edit"/>
    <arrUserId title="Диапазон2_17_1" rangeCreator="" othersAccessPermission="edit"/>
    <arrUserId title="Диапазон5_1_1_4_1" rangeCreator="" othersAccessPermission="edit"/>
    <arrUserId title="Диапазон2_1_1_4_1" rangeCreator="" othersAccessPermission="edit"/>
    <arrUserId title="Диапазон5_17_1" rangeCreator="" othersAccessPermission="edit"/>
    <arrUserId title="Диапазон2_18_1" rangeCreator="" othersAccessPermission="edit"/>
    <arrUserId title="Диапазон5_7_1_1" rangeCreator="" othersAccessPermission="edit"/>
    <arrUserId title="Диапазон2_7_1_1" rangeCreator="" othersAccessPermission="edit"/>
    <arrUserId title="Диапазон5_7_2_1" rangeCreator="" othersAccessPermission="edit"/>
    <arrUserId title="Диапазон2_7_2_1" rangeCreator="" othersAccessPermission="edit"/>
    <arrUserId title="Диапазон5_18_1" rangeCreator="" othersAccessPermission="edit"/>
    <arrUserId title="Диапазон2_19_1" rangeCreator="" othersAccessPermission="edit"/>
    <arrUserId title="Диапазон5_19_1" rangeCreator="" othersAccessPermission="edit"/>
    <arrUserId title="Диапазон2_20_1" rangeCreator="" othersAccessPermission="edit"/>
    <arrUserId title="Диапазон5_20_1" rangeCreator="" othersAccessPermission="edit"/>
    <arrUserId title="Диапазон2_21_1" rangeCreator="" othersAccessPermission="edit"/>
    <arrUserId title="Диапазон5_21_1_1" rangeCreator="" othersAccessPermission="edit"/>
    <arrUserId title="Диапазон2_22_1_1" rangeCreator="" othersAccessPermission="edit"/>
    <arrUserId title="Диапазон5_49_2_1_1" rangeCreator="" othersAccessPermission="edit"/>
    <arrUserId title="Диапазон2_52_2_1_1" rangeCreator="" othersAccessPermission="edit"/>
    <arrUserId title="Диапазон5_4_2_1_1" rangeCreator="" othersAccessPermission="edit"/>
    <arrUserId title="Диапазон2_4_2_1_1" rangeCreator="" othersAccessPermission="edit"/>
    <arrUserId title="Диапазон5_22_1" rangeCreator="" othersAccessPermission="edit"/>
    <arrUserId title="Диапазон2_23_1" rangeCreator="" othersAccessPermission="edit"/>
    <arrUserId title="Диапазон5_1_2_1" rangeCreator="" othersAccessPermission="edit"/>
    <arrUserId title="Диапазон2_1_2_1" rangeCreator="" othersAccessPermission="edit"/>
    <arrUserId title="Диапазон5_25_1" rangeCreator="" othersAccessPermission="edit"/>
    <arrUserId title="Диапазон2_26_1" rangeCreator="" othersAccessPermission="edit"/>
    <arrUserId title="Диапазон5_4_3_1" rangeCreator="" othersAccessPermission="edit"/>
    <arrUserId title="Диапазон2_4_3_1" rangeCreator="" othersAccessPermission="edit"/>
    <arrUserId title="Диапазон5_11_1_1" rangeCreator="" othersAccessPermission="edit"/>
    <arrUserId title="Диапазон2_11_1_1" rangeCreator="" othersAccessPermission="edit"/>
    <arrUserId title="Диапазон5_8_1_1_1" rangeCreator="" othersAccessPermission="edit"/>
    <arrUserId title="Диапазон2_8_1_1_1" rangeCreator="" othersAccessPermission="edit"/>
    <arrUserId title="Диапазон5_25_3_1" rangeCreator="" othersAccessPermission="edit"/>
    <arrUserId title="Диапазон2_26_3_1" rangeCreator="" othersAccessPermission="edit"/>
    <arrUserId title="Диапазон5_2_2_3_1" rangeCreator="" othersAccessPermission="edit"/>
    <arrUserId title="Диапазон2_2_2_3_1" rangeCreator="" othersAccessPermission="edit"/>
    <arrUserId title="Диапазон5_3_1_3_1" rangeCreator="" othersAccessPermission="edit"/>
    <arrUserId title="Диапазон2_3_1_3_1" rangeCreator="" othersAccessPermission="edit"/>
    <arrUserId title="Диапазон5_4_3_3_1" rangeCreator="" othersAccessPermission="edit"/>
    <arrUserId title="Диапазон2_4_3_3_1" rangeCreator="" othersAccessPermission="edit"/>
    <arrUserId title="Диапазон5_9_1_3_1" rangeCreator="" othersAccessPermission="edit"/>
    <arrUserId title="Диапазон2_9_1_3_1" rangeCreator="" othersAccessPermission="edit"/>
    <arrUserId title="Диапазон5_21_1_2_1" rangeCreator="" othersAccessPermission="edit"/>
    <arrUserId title="Диапазон2_23_1_1_1" rangeCreator="" othersAccessPermission="edit"/>
    <arrUserId title="Диапазон5_27_1_1" rangeCreator="" othersAccessPermission="edit"/>
    <arrUserId title="Диапазон2_20_2_1" rangeCreator="" othersAccessPermission="edit"/>
  </rangeList>
  <rangeList sheetStid="94" master="" otherUserPermission="visible">
    <arrUserId title="Диапазон5_3_28" rangeCreator="" othersAccessPermission="edit"/>
    <arrUserId title="Диапазон2_3_28" rangeCreator="" othersAccessPermission="edit"/>
    <arrUserId title="Диапазон5_1_3" rangeCreator="" othersAccessPermission="edit"/>
    <arrUserId title="Диапазон2_1_3" rangeCreator="" othersAccessPermission="edit"/>
    <arrUserId title="Диапазон5_32" rangeCreator="" othersAccessPermission="edit"/>
    <arrUserId title="Диапазон2_32" rangeCreator="" othersAccessPermission="edit"/>
    <arrUserId title="Диапазон5_3_23" rangeCreator="" othersAccessPermission="edit"/>
    <arrUserId title="Диапазон2_3_23" rangeCreator="" othersAccessPermission="edit"/>
    <arrUserId title="Диапазон5_3_3" rangeCreator="" othersAccessPermission="edit"/>
    <arrUserId title="Диапазон5_10_1" rangeCreator="" othersAccessPermission="edit"/>
    <arrUserId title="Диапазон2_10_1" rangeCreator="" othersAccessPermission="edit"/>
    <arrUserId title="Диапазон5_7_2" rangeCreator="" othersAccessPermission="edit"/>
    <arrUserId title="Диапазон2_7_2" rangeCreator="" othersAccessPermission="edit"/>
    <arrUserId title="Диапазон5_84" rangeCreator="" othersAccessPermission="edit"/>
    <arrUserId title="Диапазон2_84" rangeCreator="" othersAccessPermission="edit"/>
    <arrUserId title="Диапазон5_21" rangeCreator="" othersAccessPermission="edit"/>
    <arrUserId title="Диапазон2_21" rangeCreator="" othersAccessPermission="edit"/>
    <arrUserId title="Диапазон5_3_19" rangeCreator="" othersAccessPermission="edit"/>
    <arrUserId title="Диапазон2_3_19" rangeCreator="" othersAccessPermission="edit"/>
    <arrUserId title="Диапазон5_37" rangeCreator="" othersAccessPermission="edit"/>
    <arrUserId title="Диапазон2_37" rangeCreator="" othersAccessPermission="edit"/>
    <arrUserId title="Диапазон5_38" rangeCreator="" othersAccessPermission="edit"/>
    <arrUserId title="Диапазон2_38" rangeCreator="" othersAccessPermission="edit"/>
    <arrUserId title="Диапазон5_3_11" rangeCreator="" othersAccessPermission="edit"/>
    <arrUserId title="Диапазон2_3_11" rangeCreator="" othersAccessPermission="edit"/>
    <arrUserId title="Диапазон5_41" rangeCreator="" othersAccessPermission="edit"/>
    <arrUserId title="Диапазон2_41" rangeCreator="" othersAccessPermission="edit"/>
    <arrUserId title="Диапазон5_13" rangeCreator="" othersAccessPermission="edit"/>
    <arrUserId title="Диапазон2_13" rangeCreator="" othersAccessPermission="edit"/>
    <arrUserId title="Диапазон5_55" rangeCreator="" othersAccessPermission="edit"/>
    <arrUserId title="Диапазон2_55" rangeCreator="" othersAccessPermission="edit"/>
    <arrUserId title="Диапазон5_64" rangeCreator="" othersAccessPermission="edit"/>
    <arrUserId title="Диапазон2_64" rangeCreator="" othersAccessPermission="edit"/>
    <arrUserId title="Диапазон5_1" rangeCreator="" othersAccessPermission="edit"/>
    <arrUserId title="Диапазон2_1" rangeCreator="" othersAccessPermission="edit"/>
    <arrUserId title="Диапазон5_16" rangeCreator="" othersAccessPermission="edit"/>
    <arrUserId title="Диапазон2_16" rangeCreator="" othersAccessPermission="edit"/>
    <arrUserId title="Диапазон5_62" rangeCreator="" othersAccessPermission="edit"/>
    <arrUserId title="Диапазон2_62" rangeCreator="" othersAccessPermission="edit"/>
    <arrUserId title="Диапазон5_25_2" rangeCreator="" othersAccessPermission="edit"/>
    <arrUserId title="Диапазон2_25_2" rangeCreator="" othersAccessPermission="edit"/>
    <arrUserId title="Диапазон5_25_1_2" rangeCreator="" othersAccessPermission="edit"/>
    <arrUserId title="Диапазон2_25_1_2" rangeCreator="" othersAccessPermission="edit"/>
    <arrUserId title="Диапазон5_33" rangeCreator="" othersAccessPermission="edit"/>
    <arrUserId title="Диапазон2_33" rangeCreator="" othersAccessPermission="edit"/>
    <arrUserId title="Диапазон5_47" rangeCreator="" othersAccessPermission="edit"/>
    <arrUserId title="Диапазон2_47" rangeCreator="" othersAccessPermission="edit"/>
    <arrUserId title="Диапазон5_58" rangeCreator="" othersAccessPermission="edit"/>
    <arrUserId title="Диапазон2_58" rangeCreator="" othersAccessPermission="edit"/>
    <arrUserId title="Диапазон5_76" rangeCreator="" othersAccessPermission="edit"/>
    <arrUserId title="Диапазон2_76" rangeCreator="" othersAccessPermission="edit"/>
    <arrUserId title="Диапазон5_78" rangeCreator="" othersAccessPermission="edit"/>
    <arrUserId title="Диапазон2_78" rangeCreator="" othersAccessPermission="edit"/>
    <arrUserId title="Диапазон5_91" rangeCreator="" othersAccessPermission="edit"/>
    <arrUserId title="Диапазон2_91" rangeCreator="" othersAccessPermission="edit"/>
    <arrUserId title="Диапазон5_2" rangeCreator="" othersAccessPermission="edit"/>
    <arrUserId title="Диапазон2_2" rangeCreator="" othersAccessPermission="edit"/>
    <arrUserId title="Диапазон5_21_1" rangeCreator="" othersAccessPermission="edit"/>
    <arrUserId title="Диапазон2_21_1" rangeCreator="" othersAccessPermission="edit"/>
    <arrUserId title="Диапазон5_22_1" rangeCreator="" othersAccessPermission="edit"/>
    <arrUserId title="Диапазон2_22_1" rangeCreator="" othersAccessPermission="edit"/>
    <arrUserId title="Диапазон5_22_1_1" rangeCreator="" othersAccessPermission="edit"/>
    <arrUserId title="Диапазон2_22_1_1" rangeCreator="" othersAccessPermission="edit"/>
    <arrUserId title="Диапазон5_23_2" rangeCreator="" othersAccessPermission="edit"/>
    <arrUserId title="Диапазон2_23_2" rangeCreator="" othersAccessPermission="edit"/>
    <arrUserId title="Диапазон5_23_1_1" rangeCreator="" othersAccessPermission="edit"/>
    <arrUserId title="Диапазон2_23_1_1" rangeCreator="" othersAccessPermission="edit"/>
    <arrUserId title="Диапазон5_24_1" rangeCreator="" othersAccessPermission="edit"/>
    <arrUserId title="Диапазон2_24_1" rangeCreator="" othersAccessPermission="edit"/>
    <arrUserId title="Диапазон5_24_1_1" rangeCreator="" othersAccessPermission="edit"/>
    <arrUserId title="Диапазон2_24_1_1" rangeCreator="" othersAccessPermission="edit"/>
    <arrUserId title="Диапазон5_8" rangeCreator="" othersAccessPermission="edit"/>
    <arrUserId title="Диапазон2_8" rangeCreator="" othersAccessPermission="edit"/>
    <arrUserId title="Диапазон5_25" rangeCreator="" othersAccessPermission="edit"/>
    <arrUserId title="Диапазон2_25" rangeCreator="" othersAccessPermission="edit"/>
    <arrUserId title="Диапазон5_44_1" rangeCreator="" othersAccessPermission="edit"/>
    <arrUserId title="Диапазон2_44_1" rangeCreator="" othersAccessPermission="edit"/>
    <arrUserId title="Диапазон5_90" rangeCreator="" othersAccessPermission="edit"/>
    <arrUserId title="Диапазон2_90" rangeCreator="" othersAccessPermission="edit"/>
    <arrUserId title="Диапазон5_3" rangeCreator="" othersAccessPermission="edit"/>
    <arrUserId title="Диапазон2_3" rangeCreator="" othersAccessPermission="edit"/>
    <arrUserId title="Диапазон5_26_1" rangeCreator="" othersAccessPermission="edit"/>
    <arrUserId title="Диапазон2_26_1" rangeCreator="" othersAccessPermission="edit"/>
    <arrUserId title="Диапазон5_28_1" rangeCreator="" othersAccessPermission="edit"/>
    <arrUserId title="Диапазон2_28_1" rangeCreator="" othersAccessPermission="edit"/>
    <arrUserId title="Диапазон5_29_1" rangeCreator="" othersAccessPermission="edit"/>
    <arrUserId title="Диапазон2_29_1" rangeCreator="" othersAccessPermission="edit"/>
    <arrUserId title="Диапазон5_26_1_1" rangeCreator="" othersAccessPermission="edit"/>
    <arrUserId title="Диапазон2_26_1_1" rangeCreator="" othersAccessPermission="edit"/>
    <arrUserId title="Диапазон5_28_1_1" rangeCreator="" othersAccessPermission="edit"/>
    <arrUserId title="Диапазон2_28_1_1" rangeCreator="" othersAccessPermission="edit"/>
    <arrUserId title="Диапазон5_29_1_1" rangeCreator="" othersAccessPermission="edit"/>
    <arrUserId title="Диапазон2_29_1_1" rangeCreator="" othersAccessPermission="edit"/>
    <arrUserId title="Диапазон5_3_17" rangeCreator="" othersAccessPermission="edit"/>
    <arrUserId title="Диапазон2_3_17" rangeCreator="" othersAccessPermission="edit"/>
    <arrUserId title="Диапазон5_3_18" rangeCreator="" othersAccessPermission="edit"/>
    <arrUserId title="Диапазон2_3_18" rangeCreator="" othersAccessPermission="edit"/>
    <arrUserId title="Диапазон5_3_20" rangeCreator="" othersAccessPermission="edit"/>
    <arrUserId title="Диапазон2_3_20" rangeCreator="" othersAccessPermission="edit"/>
    <arrUserId title="Диапазон5_18" rangeCreator="" othersAccessPermission="edit"/>
    <arrUserId title="Диапазон2_18" rangeCreator="" othersAccessPermission="edit"/>
    <arrUserId title="Диапазон5_20" rangeCreator="" othersAccessPermission="edit"/>
    <arrUserId title="Диапазон2_20" rangeCreator="" othersAccessPermission="edit"/>
    <arrUserId title="Диапазон5_42" rangeCreator="" othersAccessPermission="edit"/>
    <arrUserId title="Диапазон2_42" rangeCreator="" othersAccessPermission="edit"/>
    <arrUserId title="Диапазон5_42_1" rangeCreator="" othersAccessPermission="edit"/>
    <arrUserId title="Диапазон2_42_1" rangeCreator="" othersAccessPermission="edit"/>
    <arrUserId title="Диапазон5_46" rangeCreator="" othersAccessPermission="edit"/>
    <arrUserId title="Диапазон2_46" rangeCreator="" othersAccessPermission="edit"/>
    <arrUserId title="Диапазон5_57" rangeCreator="" othersAccessPermission="edit"/>
    <arrUserId title="Диапазон2_57" rangeCreator="" othersAccessPermission="edit"/>
    <arrUserId title="Диапазон5_81" rangeCreator="" othersAccessPermission="edit"/>
    <arrUserId title="Диапазон2_81" rangeCreator="" othersAccessPermission="edit"/>
    <arrUserId title="Диапазон5_92" rangeCreator="" othersAccessPermission="edit"/>
    <arrUserId title="Диапазон2_92" rangeCreator="" othersAccessPermission="edit"/>
    <arrUserId title="Диапазон5_92_1" rangeCreator="" othersAccessPermission="edit"/>
    <arrUserId title="Диапазон2_92_1" rangeCreator="" othersAccessPermission="edit"/>
    <arrUserId title="Диапазон5_4" rangeCreator="" othersAccessPermission="edit"/>
    <arrUserId title="Диапазон2_4" rangeCreator="" othersAccessPermission="edit"/>
    <arrUserId title="Диапазон5_6" rangeCreator="" othersAccessPermission="edit"/>
    <arrUserId title="Диапазон2_6" rangeCreator="" othersAccessPermission="edit"/>
    <arrUserId title="Диапазон5_2_1" rangeCreator="" othersAccessPermission="edit"/>
    <arrUserId title="Диапазон2_2_1" rangeCreator="" othersAccessPermission="edit"/>
    <arrUserId title="Диапазон5_28" rangeCreator="" othersAccessPermission="edit"/>
    <arrUserId title="Диапазон2_28" rangeCreator="" othersAccessPermission="edit"/>
    <arrUserId title="Диапазон5_28_2" rangeCreator="" othersAccessPermission="edit"/>
    <arrUserId title="Диапазон2_28_2" rangeCreator="" othersAccessPermission="edit"/>
    <arrUserId title="Диапазон5_3_1" rangeCreator="" othersAccessPermission="edit"/>
    <arrUserId title="Диапазон2_3_1" rangeCreator="" othersAccessPermission="edit"/>
    <arrUserId title="Диапазон5_5_1" rangeCreator="" othersAccessPermission="edit"/>
    <arrUserId title="Диапазон2_5_1" rangeCreator="" othersAccessPermission="edit"/>
    <arrUserId title="Диапазон5_5_2" rangeCreator="" othersAccessPermission="edit"/>
    <arrUserId title="Диапазон2_5_2" rangeCreator="" othersAccessPermission="edit"/>
    <arrUserId title="Диапазон5_23" rangeCreator="" othersAccessPermission="edit"/>
    <arrUserId title="Диапазон2_23" rangeCreator="" othersAccessPermission="edit"/>
    <arrUserId title="Диапазон5_24" rangeCreator="" othersAccessPermission="edit"/>
    <arrUserId title="Диапазон2_24" rangeCreator="" othersAccessPermission="edit"/>
    <arrUserId title="Диапазон5_61" rangeCreator="" othersAccessPermission="edit"/>
    <arrUserId title="Диапазон2_61" rangeCreator="" othersAccessPermission="edit"/>
    <arrUserId title="Диапазон5_61_1" rangeCreator="" othersAccessPermission="edit"/>
    <arrUserId title="Диапазон2_61_1" rangeCreator="" othersAccessPermission="edit"/>
    <arrUserId title="Диапазон5_61_2" rangeCreator="" othersAccessPermission="edit"/>
    <arrUserId title="Диапазон2_61_2" rangeCreator="" othersAccessPermission="edit"/>
    <arrUserId title="Диапазон5_61_3" rangeCreator="" othersAccessPermission="edit"/>
    <arrUserId title="Диапазон2_61_3" rangeCreator="" othersAccessPermission="edit"/>
    <arrUserId title="Диапазон5_63_4" rangeCreator="" othersAccessPermission="edit"/>
    <arrUserId title="Диапазон2_63_4" rangeCreator="" othersAccessPermission="edit"/>
    <arrUserId title="Диапазон5_65_1" rangeCreator="" othersAccessPermission="edit"/>
    <arrUserId title="Диапазон2_65_1" rangeCreator="" othersAccessPermission="edit"/>
    <arrUserId title="Диапазон5_34" rangeCreator="" othersAccessPermission="edit"/>
    <arrUserId title="Диапазон2_34" rangeCreator="" othersAccessPermission="edit"/>
    <arrUserId title="Диапазон5_89" rangeCreator="" othersAccessPermission="edit"/>
    <arrUserId title="Диапазон2_89" rangeCreator="" othersAccessPermission="edit"/>
    <arrUserId title="Диапазон5_65_2" rangeCreator="" othersAccessPermission="edit"/>
    <arrUserId title="Диапазон2_65_2" rangeCreator="" othersAccessPermission="edit"/>
    <arrUserId title="Диапазон5_63_5" rangeCreator="" othersAccessPermission="edit"/>
    <arrUserId title="Диапазон2_63_5" rangeCreator="" othersAccessPermission="edit"/>
    <arrUserId title="Диапазон5_3_23_1" rangeCreator="" othersAccessPermission="edit"/>
    <arrUserId title="Диапазон2_3_23_1" rangeCreator="" othersAccessPermission="edit"/>
  </rangeList>
  <rangeList sheetStid="92" master="" otherUserPermission="visible">
    <arrUserId title="Диапазон5_1_1_1_2_1_3" rangeCreator="" othersAccessPermission="edit"/>
    <arrUserId title="Диапазон2_1_1_1_2_1_3" rangeCreator="" othersAccessPermission="edit"/>
    <arrUserId title="Диапазон5_1_1_1_3_1_3" rangeCreator="" othersAccessPermission="edit"/>
    <arrUserId title="Диапазон2_1_1_1_3_1_3" rangeCreator="" othersAccessPermission="edit"/>
    <arrUserId title="Диапазон5_1_1_1_4_1_3" rangeCreator="" othersAccessPermission="edit"/>
    <arrUserId title="Диапазон2_1_1_1_4_1_3" rangeCreator="" othersAccessPermission="edit"/>
    <arrUserId title="Диапазон5_1_1_1_5_1_3" rangeCreator="" othersAccessPermission="edit"/>
    <arrUserId title="Диапазон2_1_1_1_5_1_3" rangeCreator="" othersAccessPermission="edit"/>
    <arrUserId title="Диапазон5_1_1_1_7_1_3" rangeCreator="" othersAccessPermission="edit"/>
    <arrUserId title="Диапазон2_1_1_1_7_1_3" rangeCreator="" othersAccessPermission="edit"/>
    <arrUserId title="Диапазон5_1_1_1_8_1_3" rangeCreator="" othersAccessPermission="edit"/>
    <arrUserId title="Диапазон2_1_1_1_8_1_3" rangeCreator="" othersAccessPermission="edit"/>
    <arrUserId title="Диапазон5_1_1_1_11_1_3" rangeCreator="" othersAccessPermission="edit"/>
    <arrUserId title="Диапазон2_1_1_1_11_1_3" rangeCreator="" othersAccessPermission="edit"/>
    <arrUserId title="Диапазон5_1_1_1_12_1_3" rangeCreator="" othersAccessPermission="edit"/>
    <arrUserId title="Диапазон2_1_1_1_12_1_3" rangeCreator="" othersAccessPermission="edit"/>
    <arrUserId title="Диапазон5_1_1_1_16_1_3" rangeCreator="" othersAccessPermission="edit"/>
    <arrUserId title="Диапазон2_1_1_1_16_1_3" rangeCreator="" othersAccessPermission="edit"/>
    <arrUserId title="Диапазон5_1_1_1_17_1_3" rangeCreator="" othersAccessPermission="edit"/>
    <arrUserId title="Диапазон2_1_1_1_17_1_3" rangeCreator="" othersAccessPermission="edit"/>
    <arrUserId title="Диапазон5_1_1_1_18_1_3" rangeCreator="" othersAccessPermission="edit"/>
    <arrUserId title="Диапазон2_1_1_1_18_1_3" rangeCreator="" othersAccessPermission="edit"/>
    <arrUserId title="Диапазон5_2_3" rangeCreator="" othersAccessPermission="edit"/>
    <arrUserId title="Диапазон2_2_3" rangeCreator="" othersAccessPermission="edit"/>
    <arrUserId title="Диапазон5_1_1_1_17" rangeCreator="" othersAccessPermission="edit"/>
    <arrUserId title="Диапазон2_1_1_1_17" rangeCreator="" othersAccessPermission="edit"/>
    <arrUserId title="Диапазон5_1_1_1_6_1_4" rangeCreator="" othersAccessPermission="edit"/>
    <arrUserId title="Диапазон2_1_1_1_6_1_4" rangeCreator="" othersAccessPermission="edit"/>
    <arrUserId title="Диапазон5_2_4" rangeCreator="" othersAccessPermission="edit"/>
    <arrUserId title="Диапазон2_2_4" rangeCreator="" othersAccessPermission="edit"/>
    <arrUserId title="Диапазон4_1" rangeCreator="" othersAccessPermission="edit"/>
    <arrUserId title="Диапазон3_1" rangeCreator="" othersAccessPermission="edit"/>
  </rangeList>
  <rangeList sheetStid="100" master="" otherUserPermission="visible"/>
  <rangeList sheetStid="90" master="" otherUserPermission="visible"/>
  <rangeList sheetStid="84" master="" otherUserPermission="visible">
    <arrUserId title="Диапазон5" rangeCreator="" othersAccessPermission="edit"/>
    <arrUserId title="Диапазон2" rangeCreator="" othersAccessPermission="edit"/>
    <arrUserId title="Диапазон5_2" rangeCreator="" othersAccessPermission="edit"/>
    <arrUserId title="Диапазон2_2" rangeCreator="" othersAccessPermission="edit"/>
    <arrUserId title="Диапазон5_2_2" rangeCreator="" othersAccessPermission="edit"/>
    <arrUserId title="Диапазон2_2_2" rangeCreator="" othersAccessPermission="edit"/>
    <arrUserId title="Диапазон5_1" rangeCreator="" othersAccessPermission="edit"/>
    <arrUserId title="Диапазон2_1" rangeCreator="" othersAccessPermission="edit"/>
    <arrUserId title="Диапазон5_1_1" rangeCreator="" othersAccessPermission="edit"/>
    <arrUserId title="Диапазон2_1_1" rangeCreator="" othersAccessPermission="edit"/>
    <arrUserId title="Диапазон5_3" rangeCreator="" othersAccessPermission="edit"/>
    <arrUserId title="Диапазон2_3" rangeCreator="" othersAccessPermission="edit"/>
    <arrUserId title="Диапазон5_1_2" rangeCreator="" othersAccessPermission="edit"/>
    <arrUserId title="Диапазон2_1_2" rangeCreator="" othersAccessPermission="edit"/>
    <arrUserId title="Диапазон5_4" rangeCreator="" othersAccessPermission="edit"/>
    <arrUserId title="Диапазон2_4" rangeCreator="" othersAccessPermission="edit"/>
    <arrUserId title="Диапазон5_1_3" rangeCreator="" othersAccessPermission="edit"/>
    <arrUserId title="Диапазон2_1_3" rangeCreator="" othersAccessPermission="edit"/>
    <arrUserId title="Диапазон5_6" rangeCreator="" othersAccessPermission="edit"/>
    <arrUserId title="Диапазон2_6" rangeCreator="" othersAccessPermission="edit"/>
    <arrUserId title="Диапазон5_1_4" rangeCreator="" othersAccessPermission="edit"/>
    <arrUserId title="Диапазон2_1_4" rangeCreator="" othersAccessPermission="edit"/>
    <arrUserId title="Диапазон5_8" rangeCreator="" othersAccessPermission="edit"/>
    <arrUserId title="Диапазон2_8" rangeCreator="" othersAccessPermission="edit"/>
    <arrUserId title="Диапазон5_1_5" rangeCreator="" othersAccessPermission="edit"/>
    <arrUserId title="Диапазон2_1_5" rangeCreator="" othersAccessPermission="edit"/>
    <arrUserId title="Диапазон5_9" rangeCreator="" othersAccessPermission="edit"/>
    <arrUserId title="Диапазон2_9" rangeCreator="" othersAccessPermission="edit"/>
    <arrUserId title="Диапазон5_2_1" rangeCreator="" othersAccessPermission="edit"/>
    <arrUserId title="Диапазон2_2_1" rangeCreator="" othersAccessPermission="edit"/>
    <arrUserId title="Диапазон5_2_4" rangeCreator="" othersAccessPermission="edit"/>
    <arrUserId title="Диапазон2_2_4" rangeCreator="" othersAccessPermission="edit"/>
    <arrUserId title="Диапазон5_2_3_1" rangeCreator="" othersAccessPermission="edit"/>
    <arrUserId title="Диапазон2_2_3_1" rangeCreator="" othersAccessPermission="edit"/>
    <arrUserId title="Диапазон5_2_1_1" rangeCreator="" othersAccessPermission="edit"/>
    <arrUserId title="Диапазон2_2_1_1" rangeCreator="" othersAccessPermission="edit"/>
    <arrUserId title="Диапазон5_10" rangeCreator="" othersAccessPermission="edit"/>
    <arrUserId title="Диапазон2_10" rangeCreator="" othersAccessPermission="edit"/>
    <arrUserId title="Диапазон5_2_2_1" rangeCreator="" othersAccessPermission="edit"/>
    <arrUserId title="Диапазон2_2_2_1" rangeCreator="" othersAccessPermission="edit"/>
    <arrUserId title="Диапазон5_11" rangeCreator="" othersAccessPermission="edit"/>
    <arrUserId title="Диапазон2_11" rangeCreator="" othersAccessPermission="edit"/>
  </rangeList>
  <rangeList sheetStid="25" master="" otherUserPermission="visible">
    <arrUserId title="Диапазон5" rangeCreator="" othersAccessPermission="edit"/>
    <arrUserId title="Диапазон2" rangeCreator="" othersAccessPermission="edit"/>
    <arrUserId title="Диапазон3" rangeCreator="" othersAccessPermission="edit"/>
    <arrUserId title="Диапазон5_1" rangeCreator="" othersAccessPermission="edit"/>
    <arrUserId title="Диапазон2_1" rangeCreator="" othersAccessPermission="edit"/>
    <arrUserId title="Диапазон5_2" rangeCreator="" othersAccessPermission="edit"/>
    <arrUserId title="Диапазон2_2" rangeCreator="" othersAccessPermission="edit"/>
    <arrUserId title="Диапазон5_3" rangeCreator="" othersAccessPermission="edit"/>
    <arrUserId title="Диапазон2_3" rangeCreator="" othersAccessPermission="edit"/>
    <arrUserId title="Диапазон5_4" rangeCreator="" othersAccessPermission="edit"/>
    <arrUserId title="Диапазон2_4" rangeCreator="" othersAccessPermission="edit"/>
    <arrUserId title="Диапазон5_5" rangeCreator="" othersAccessPermission="edit"/>
    <arrUserId title="Диапазон2_5" rangeCreator="" othersAccessPermission="edit"/>
    <arrUserId title="Диапазон5_6" rangeCreator="" othersAccessPermission="edit"/>
    <arrUserId title="Диапазон2_6" rangeCreator="" othersAccessPermission="edit"/>
    <arrUserId title="Диапазон5_7" rangeCreator="" othersAccessPermission="edit"/>
    <arrUserId title="Диапазон2_7" rangeCreator="" othersAccessPermission="edit"/>
    <arrUserId title="Диапазон5_9" rangeCreator="" othersAccessPermission="edit"/>
    <arrUserId title="Диапазон2_9" rangeCreator="" othersAccessPermission="edit"/>
    <arrUserId title="Диапазон5_1_2" rangeCreator="" othersAccessPermission="edit"/>
    <arrUserId title="Диапазон2_1_2" rangeCreator="" othersAccessPermission="edit"/>
    <arrUserId title="Диапазон5_2_2" rangeCreator="" othersAccessPermission="edit"/>
    <arrUserId title="Диапазон2_2_2" rangeCreator="" othersAccessPermission="edit"/>
    <arrUserId title="Диапазон5_3_2" rangeCreator="" othersAccessPermission="edit"/>
    <arrUserId title="Диапазон2_3_2" rangeCreator="" othersAccessPermission="edit"/>
    <arrUserId title="Диапазон5_10" rangeCreator="" othersAccessPermission="edit"/>
    <arrUserId title="Диапазон2_10" rangeCreator="" othersAccessPermission="edit"/>
    <arrUserId title="Диапазон5_11" rangeCreator="" othersAccessPermission="edit"/>
    <arrUserId title="Диапазон2_11" rangeCreator="" othersAccessPermission="edit"/>
    <arrUserId title="Диапазон5_12" rangeCreator="" othersAccessPermission="edit"/>
    <arrUserId title="Диапазон2_12" rangeCreator="" othersAccessPermission="edit"/>
    <arrUserId title="Диапазон5_13" rangeCreator="" othersAccessPermission="edit"/>
    <arrUserId title="Диапазон2_13" rangeCreator="" othersAccessPermission="edit"/>
    <arrUserId title="Диапазон5_14" rangeCreator="" othersAccessPermission="edit"/>
    <arrUserId title="Диапазон2_14" rangeCreator="" othersAccessPermission="edit"/>
    <arrUserId title="Диапазон5_15" rangeCreator="" othersAccessPermission="edit"/>
    <arrUserId title="Диапазон2_15" rangeCreator="" othersAccessPermission="edit"/>
    <arrUserId title="Диапазон5_16" rangeCreator="" othersAccessPermission="edit"/>
    <arrUserId title="Диапазон2_16" rangeCreator="" othersAccessPermission="edit"/>
    <arrUserId title="Диапазон5_17" rangeCreator="" othersAccessPermission="edit"/>
    <arrUserId title="Диапазон2_17" rangeCreator="" othersAccessPermission="edit"/>
    <arrUserId title="Диапазон5_8" rangeCreator="" othersAccessPermission="edit"/>
    <arrUserId title="Диапазон2_8" rangeCreator="" othersAccessPermission="edit"/>
    <arrUserId title="Диапазон5_18" rangeCreator="" othersAccessPermission="edit"/>
    <arrUserId title="Диапазон2_18" rangeCreator="" othersAccessPermission="edit"/>
    <arrUserId title="Диапазон5_19" rangeCreator="" othersAccessPermission="edit"/>
    <arrUserId title="Диапазон2_19" rangeCreator="" othersAccessPermission="edit"/>
    <arrUserId title="Диапазон5_21" rangeCreator="" othersAccessPermission="edit"/>
    <arrUserId title="Диапазон2_21" rangeCreator="" othersAccessPermission="edit"/>
    <arrUserId title="Диапазон5_20" rangeCreator="" othersAccessPermission="edit"/>
    <arrUserId title="Диапазон2_20" rangeCreator="" othersAccessPermission="edit"/>
    <arrUserId title="Диапазон5_1_3" rangeCreator="" othersAccessPermission="edit"/>
    <arrUserId title="Диапазон2_1_3" rangeCreator="" othersAccessPermission="edit"/>
    <arrUserId title="Диапазон5_23" rangeCreator="" othersAccessPermission="edit"/>
    <arrUserId title="Диапазон2_23" rangeCreator="" othersAccessPermission="edit"/>
    <arrUserId title="Диапазон5_1_4" rangeCreator="" othersAccessPermission="edit"/>
    <arrUserId title="Диапазон2_1_4" rangeCreator="" othersAccessPermission="edit"/>
    <arrUserId title="Диапазон5_1_3_2" rangeCreator="" othersAccessPermission="edit"/>
    <arrUserId title="Диапазон2_1_3_2" rangeCreator="" othersAccessPermission="edit"/>
    <arrUserId title="Диапазон5_24" rangeCreator="" othersAccessPermission="edit"/>
    <arrUserId title="Диапазон2_24" rangeCreator="" othersAccessPermission="edit"/>
    <arrUserId title="Диапазон5_1_5" rangeCreator="" othersAccessPermission="edit"/>
    <arrUserId title="Диапазон2_1_5" rangeCreator="" othersAccessPermission="edit"/>
    <arrUserId title="Диапазон5_2_3_1" rangeCreator="" othersAccessPermission="edit"/>
    <arrUserId title="Диапазон2_2_3_1" rangeCreator="" othersAccessPermission="edit"/>
    <arrUserId title="Диапазон5_1_3_3" rangeCreator="" othersAccessPermission="edit"/>
    <arrUserId title="Диапазон2_1_3_3" rangeCreator="" othersAccessPermission="edit"/>
    <arrUserId title="Диапазон5_3_3" rangeCreator="" othersAccessPermission="edit"/>
    <arrUserId title="Диапазон2_3_3" rangeCreator="" othersAccessPermission="edit"/>
    <arrUserId title="Диапазон3_1_1" rangeCreator="" othersAccessPermission="edit"/>
    <arrUserId title="Диапазон4_2_1" rangeCreator="" othersAccessPermission="edit"/>
    <arrUserId title="Диапазон3_2_1" rangeCreator="" othersAccessPermission="edit"/>
  </rangeList>
  <rangeList sheetStid="52" master="" otherUserPermission="visible">
    <arrUserId title="Диапазон5_3_1" rangeCreator="" othersAccessPermission="edit"/>
    <arrUserId title="Диапазон2_3_1" rangeCreator="" othersAccessPermission="edit"/>
    <arrUserId title="Диапазон5_2_2_1_1" rangeCreator="" othersAccessPermission="edit"/>
    <arrUserId title="Диапазон2_2_2_1_1" rangeCreator="" othersAccessPermission="edit"/>
    <arrUserId title="Диапазон5_2_4_1_1" rangeCreator="" othersAccessPermission="edit"/>
    <arrUserId title="Диапазон2_2_4_1_1" rangeCreator="" othersAccessPermission="edit"/>
    <arrUserId title="Диапазон5_2_5_1_1" rangeCreator="" othersAccessPermission="edit"/>
    <arrUserId title="Диапазон5_2_8_2_2" rangeCreator="" othersAccessPermission="edit"/>
    <arrUserId title="Диапазон2_2_8_2_2" rangeCreator="" othersAccessPermission="edit"/>
    <arrUserId title="Диапазон5_2_3_3_2_1" rangeCreator="" othersAccessPermission="edit"/>
    <arrUserId title="Диапазон2_2_3_3_2_1" rangeCreator="" othersAccessPermission="edit"/>
    <arrUserId title="Диапазон5_1_2_2" rangeCreator="" othersAccessPermission="edit"/>
    <arrUserId title="Диапазон2_1_2_2" rangeCreator="" othersAccessPermission="edit"/>
    <arrUserId title="Диапазон5_1_1_1_1" rangeCreator="" othersAccessPermission="edit"/>
    <arrUserId title="Диапазон2_1_1_1_1" rangeCreator="" othersAccessPermission="edit"/>
    <arrUserId title="Диапазон5_4_3" rangeCreator="" othersAccessPermission="edit"/>
    <arrUserId title="Диапазон2_4_3" rangeCreator="" othersAccessPermission="edit"/>
    <arrUserId title="Диапазон5_2_8_3_1" rangeCreator="" othersAccessPermission="edit"/>
    <arrUserId title="Диапазон2_2_8_3_1" rangeCreator="" othersAccessPermission="edit"/>
    <arrUserId title="Диапазон5_2_3_3_3_1" rangeCreator="" othersAccessPermission="edit"/>
    <arrUserId title="Диапазон2_2_3_3_3_1" rangeCreator="" othersAccessPermission="edit"/>
    <arrUserId title="Диапазон5_4_1_1" rangeCreator="" othersAccessPermission="edit"/>
    <arrUserId title="Диапазон2_4_1_1" rangeCreator="" othersAccessPermission="edit"/>
    <arrUserId title="Диапазон5_2_8_2_1_1" rangeCreator="" othersAccessPermission="edit"/>
    <arrUserId title="Диапазон2_2_8_2_1_1" rangeCreator="" othersAccessPermission="edit"/>
    <arrUserId title="Диапазон5_1_2_1_1" rangeCreator="" othersAccessPermission="edit"/>
    <arrUserId title="Диапазон2_1_2_1_1" rangeCreator="" othersAccessPermission="edit"/>
    <arrUserId title="Диапазон5_4_2_1" rangeCreator="" othersAccessPermission="edit"/>
    <arrUserId title="Диапазон2_4_2_1" rangeCreator="" othersAccessPermission="edit"/>
  </rangeList>
  <rangeList sheetStid="99" master="" otherUserPermission="visible">
    <arrUserId title="Диапазон5_4" rangeCreator="" othersAccessPermission="edit"/>
    <arrUserId title="Диапазон2_4" rangeCreator="" othersAccessPermission="edit"/>
    <arrUserId title="Диапазон5_5" rangeCreator="" othersAccessPermission="edit"/>
    <arrUserId title="Диапазон2_5" rangeCreator="" othersAccessPermission="edit"/>
    <arrUserId title="Диапазон5_4_1" rangeCreator="" othersAccessPermission="edit"/>
    <arrUserId title="Диапазон2_4_1" rangeCreator="" othersAccessPermission="edit"/>
    <arrUserId title="Диапазон5_4_2" rangeCreator="" othersAccessPermission="edit"/>
    <arrUserId title="Диапазон2_4_2" rangeCreator="" othersAccessPermission="edit"/>
    <arrUserId title="Диапазон5_4_6" rangeCreator="" othersAccessPermission="edit"/>
    <arrUserId title="Диапазон2_4_6" rangeCreator="" othersAccessPermission="edit"/>
    <arrUserId title="Диапазон5_4_7" rangeCreator="" othersAccessPermission="edit"/>
    <arrUserId title="Диапазон2_4_7" rangeCreator="" othersAccessPermission="edit"/>
    <arrUserId title="Диапазон5_4_8" rangeCreator="" othersAccessPermission="edit"/>
    <arrUserId title="Диапазон2_4_8" rangeCreator="" othersAccessPermission="edit"/>
    <arrUserId title="Диапазон5_4_9" rangeCreator="" othersAccessPermission="edit"/>
    <arrUserId title="Диапазон2_4_9" rangeCreator="" othersAccessPermission="edit"/>
    <arrUserId title="Диапазон5_4_12" rangeCreator="" othersAccessPermission="edit"/>
    <arrUserId title="Диапазон2_4_12" rangeCreator="" othersAccessPermission="edit"/>
    <arrUserId title="Диапазон5_4_16" rangeCreator="" othersAccessPermission="edit"/>
    <arrUserId title="Диапазон2_4_16" rangeCreator="" othersAccessPermission="edit"/>
    <arrUserId title="Диапазон5_5_1" rangeCreator="" othersAccessPermission="edit"/>
    <arrUserId title="Диапазон2_5_1" rangeCreator="" othersAccessPermission="edit"/>
    <arrUserId title="Диапазон2_4_24" rangeCreator="" othersAccessPermission="edit"/>
    <arrUserId title="Диапазон2_4_27" rangeCreator="" othersAccessPermission="edit"/>
    <arrUserId title="Диапазон2_4_28" rangeCreator="" othersAccessPermission="edit"/>
    <arrUserId title="Диапазон5_4_3" rangeCreator="" othersAccessPermission="edit"/>
    <arrUserId title="Диапазон2_4_3" rangeCreator="" othersAccessPermission="edit"/>
    <arrUserId title="Диапазон5_4_5" rangeCreator="" othersAccessPermission="edit"/>
    <arrUserId title="Диапазон2_4_5" rangeCreator="" othersAccessPermission="edit"/>
    <arrUserId title="Диапазон5_5_3" rangeCreator="" othersAccessPermission="edit"/>
    <arrUserId title="Диапазон2_5_3" rangeCreator="" othersAccessPermission="edit"/>
  </rangeList>
  <rangeList sheetStid="63" master="" otherUserPermission="visible"/>
  <rangeList sheetStid="37" master="" otherUserPermission="visible">
    <arrUserId title="Диапазон5_1" rangeCreator="" othersAccessPermission="edit"/>
    <arrUserId title="Диапазон2_1" rangeCreator="" othersAccessPermission="edit"/>
    <arrUserId title="Диапазон3_1" rangeCreator="" othersAccessPermission="edit"/>
    <arrUserId title="Диапазон5_2_3_1" rangeCreator="" othersAccessPermission="edit"/>
    <arrUserId title="Диапазон2_2_3_1" rangeCreator="" othersAccessPermission="edit"/>
    <arrUserId title="Диапазон5_1_3_1" rangeCreator="" othersAccessPermission="edit"/>
    <arrUserId title="Диапазон2_1_3_1" rangeCreator="" othersAccessPermission="edit"/>
    <arrUserId title="Диапазон5_3_1" rangeCreator="" othersAccessPermission="edit"/>
    <arrUserId title="Диапазон2_3_1" rangeCreator="" othersAccessPermission="edit"/>
    <arrUserId title="Диапазон5_6_1" rangeCreator="" othersAccessPermission="edit"/>
    <arrUserId title="Диапазон2_6_1" rangeCreator="" othersAccessPermission="edit"/>
    <arrUserId title="Диапазон5_8_1" rangeCreator="" othersAccessPermission="edit"/>
    <arrUserId title="Диапазон2_8_1" rangeCreator="" othersAccessPermission="edit"/>
    <arrUserId title="Диапазон5_10_1" rangeCreator="" othersAccessPermission="edit"/>
    <arrUserId title="Диапазон2_10_1" rangeCreator="" othersAccessPermission="edit"/>
    <arrUserId title="Диапазон5_12_1" rangeCreator="" othersAccessPermission="edit"/>
    <arrUserId title="Диапазон2_12_1" rangeCreator="" othersAccessPermission="edit"/>
    <arrUserId title="Диапазон5_14_1" rangeCreator="" othersAccessPermission="edit"/>
    <arrUserId title="Диапазон2_14_1" rangeCreator="" othersAccessPermission="edit"/>
    <arrUserId title="Диапазон5_15_1" rangeCreator="" othersAccessPermission="edit"/>
    <arrUserId title="Диапазон2_15_1" rangeCreator="" othersAccessPermission="edit"/>
    <arrUserId title="Диапазон5_3_3_1" rangeCreator="" othersAccessPermission="edit"/>
    <arrUserId title="Диапазон2_3_3_1" rangeCreator="" othersAccessPermission="edit"/>
    <arrUserId title="Диапазон5_8_3_1" rangeCreator="" othersAccessPermission="edit"/>
    <arrUserId title="Диапазон2_8_3_1" rangeCreator="" othersAccessPermission="edit"/>
    <arrUserId title="Диапазон5_14_3_1" rangeCreator="" othersAccessPermission="edit"/>
    <arrUserId title="Диапазон2_14_3_1" rangeCreator="" othersAccessPermission="edit"/>
    <arrUserId title="Диапазон5_2_3_3_1" rangeCreator="" othersAccessPermission="edit"/>
    <arrUserId title="Диапазон2_2_3_3_1" rangeCreator="" othersAccessPermission="edit"/>
    <arrUserId title="Диапазон5_13_1_1" rangeCreator="" othersAccessPermission="edit"/>
    <arrUserId title="Диапазон2_13_1_1" rangeCreator="" othersAccessPermission="edit"/>
    <arrUserId title="Диапазон5_9_1" rangeCreator="" othersAccessPermission="edit"/>
    <arrUserId title="Диапазон2_9_1" rangeCreator="" othersAccessPermission="edit"/>
    <arrUserId title="Диапазон5_1_2_3_1" rangeCreator="" othersAccessPermission="edit"/>
    <arrUserId title="Диапазон2_1_2_3_1" rangeCreator="" othersAccessPermission="edit"/>
    <arrUserId title="Диапазон5_1_3_3_1" rangeCreator="" othersAccessPermission="edit"/>
    <arrUserId title="Диапазон2_1_3_3_1" rangeCreator="" othersAccessPermission="edit"/>
    <arrUserId title="Диапазон5_8_6_1" rangeCreator="" othersAccessPermission="edit"/>
    <arrUserId title="Диапазон2_8_6_1" rangeCreator="" othersAccessPermission="edit"/>
    <arrUserId title="Диапазон4_2_1" rangeCreator="" othersAccessPermission="edit"/>
    <arrUserId title="Диапазон3_2_1" rangeCreator="" othersAccessPermission="edit"/>
    <arrUserId title="Диапазон5_1_25" rangeCreator="" othersAccessPermission="edit"/>
    <arrUserId title="Диапазон2_1_25" rangeCreator="" othersAccessPermission="edit"/>
    <arrUserId title="Диапазон5_1_26" rangeCreator="" othersAccessPermission="edit"/>
    <arrUserId title="Диапазон2_1_26" rangeCreator="" othersAccessPermission="edit"/>
  </rangeList>
  <rangeList sheetStid="20" master="" otherUserPermission="visible">
    <arrUserId title="Диапазон5_1_1_1" rangeCreator="" othersAccessPermission="edit"/>
    <arrUserId title="Диапазон2_1_1_1" rangeCreator="" othersAccessPermission="edit"/>
    <arrUserId title="Диапазон5_1_1_1_2" rangeCreator="" othersAccessPermission="edit"/>
    <arrUserId title="Диапазон2_1_1_1_2" rangeCreator="" othersAccessPermission="edit"/>
    <arrUserId title="Диапазон5_1_1_1_3" rangeCreator="" othersAccessPermission="edit"/>
    <arrUserId title="Диапазон2_1_1_1_3" rangeCreator="" othersAccessPermission="edit"/>
    <arrUserId title="Диапазон5_1_1_1_4" rangeCreator="" othersAccessPermission="edit"/>
    <arrUserId title="Диапазон2_1_1_1_4" rangeCreator="" othersAccessPermission="edit"/>
    <arrUserId title="Диапазон5_1_1_1_5" rangeCreator="" othersAccessPermission="edit"/>
    <arrUserId title="Диапазон2_1_1_1_5" rangeCreator="" othersAccessPermission="edit"/>
    <arrUserId title="Диапазон5_1_1_1_6" rangeCreator="" othersAccessPermission="edit"/>
    <arrUserId title="Диапазон2_1_1_1_6" rangeCreator="" othersAccessPermission="edit"/>
    <arrUserId title="Диапазон5_1_1_1_7" rangeCreator="" othersAccessPermission="edit"/>
    <arrUserId title="Диапазон2_1_1_1_7" rangeCreator="" othersAccessPermission="edit"/>
    <arrUserId title="Диапазон5_1_1_1_8" rangeCreator="" othersAccessPermission="edit"/>
    <arrUserId title="Диапазон2_1_1_1_8" rangeCreator="" othersAccessPermission="edit"/>
    <arrUserId title="Диапазон5_1_1_1_11" rangeCreator="" othersAccessPermission="edit"/>
    <arrUserId title="Диапазон2_1_1_1_11" rangeCreator="" othersAccessPermission="edit"/>
    <arrUserId title="Диапазон5_1_1_1_12" rangeCreator="" othersAccessPermission="edit"/>
    <arrUserId title="Диапазон2_1_1_1_12" rangeCreator="" othersAccessPermission="edit"/>
    <arrUserId title="Диапазон5_1_1_1_13" rangeCreator="" othersAccessPermission="edit"/>
    <arrUserId title="Диапазон2_1_1_1_13" rangeCreator="" othersAccessPermission="edit"/>
    <arrUserId title="Диапазон5_1_1_1_16" rangeCreator="" othersAccessPermission="edit"/>
    <arrUserId title="Диапазон2_1_1_1_16" rangeCreator="" othersAccessPermission="edit"/>
    <arrUserId title="Диапазон5_1_1_1_17" rangeCreator="" othersAccessPermission="edit"/>
    <arrUserId title="Диапазон2_1_1_1_17" rangeCreator="" othersAccessPermission="edit"/>
    <arrUserId title="Диапазон5_1_1_1_18" rangeCreator="" othersAccessPermission="edit"/>
    <arrUserId title="Диапазон2_1_1_1_18" rangeCreator="" othersAccessPermission="edit"/>
    <arrUserId title="Диапазон5_1" rangeCreator="" othersAccessPermission="edit"/>
    <arrUserId title="Диапазон2_1" rangeCreator="" othersAccessPermission="edit"/>
    <arrUserId title="Диапазон5_1_1" rangeCreator="" othersAccessPermission="edit"/>
    <arrUserId title="Диапазон2_1_1" rangeCreator="" othersAccessPermission="edit"/>
    <arrUserId title="Диапазон5_1_2" rangeCreator="" othersAccessPermission="edit"/>
    <arrUserId title="Диапазон2_1_2" rangeCreator="" othersAccessPermission="edit"/>
  </rangeList>
  <rangeList sheetStid="78" master="" otherUserPermission="visible">
    <arrUserId title="Диапазон3" rangeCreator="" othersAccessPermission="edit"/>
  </rangeList>
  <rangeList sheetStid="7"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Template>Normal.dotm</Template>
  <Application>Microsoft Macintosh Excel</Application>
  <DocSecurity>0</DocSecurity>
  <ScaleCrop>false</ScaleCrop>
  <HeadingPairs>
    <vt:vector size="2" baseType="variant">
      <vt:variant>
        <vt:lpstr>Листы</vt:lpstr>
      </vt:variant>
      <vt:variant>
        <vt:i4>8</vt:i4>
      </vt:variant>
    </vt:vector>
  </HeadingPairs>
  <TitlesOfParts>
    <vt:vector size="8" baseType="lpstr">
      <vt:lpstr>Группы процессов!!!</vt:lpstr>
      <vt:lpstr>Глоссарий</vt:lpstr>
      <vt:lpstr>Наименование ОГВ</vt:lpstr>
      <vt:lpstr>10_МЛХ</vt:lpstr>
      <vt:lpstr>Лист3</vt:lpstr>
      <vt:lpstr>Цифра</vt:lpstr>
      <vt:lpstr>Лист2</vt:lpstr>
      <vt:lpstr>Лист1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Пушкова Яна Вадимовна</dc:creator>
  <cp:lastModifiedBy>tgr erg</cp:lastModifiedBy>
  <cp:revision>1</cp:revision>
  <cp:lastPrinted>2026-04-27T06:18:03Z</cp:lastPrinted>
  <dcterms:created xsi:type="dcterms:W3CDTF">2025-01-17T06:47:00Z</dcterms:created>
  <dcterms:modified xsi:type="dcterms:W3CDTF">2026-08-25T16:18:01Z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72AF17D0B9284F0D8A4B2E942ED214BF_13</vt:lpwstr>
  </property>
  <property fmtid="{D5CDD505-2E9C-101B-9397-08002B2CF9AE}" pid="3" name="KSOProductBuildVer">
    <vt:lpwstr>1049-12.2.0.23155</vt:lpwstr>
  </property>
</Properties>
</file>